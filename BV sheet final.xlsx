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umya Srivastav\Downloads\"/>
    </mc:Choice>
  </mc:AlternateContent>
  <xr:revisionPtr revIDLastSave="0" documentId="8_{B111076F-BB6D-4904-AFAA-E9A3AA9E6DF8}" xr6:coauthVersionLast="47" xr6:coauthVersionMax="47" xr10:uidLastSave="{00000000-0000-0000-0000-000000000000}"/>
  <bookViews>
    <workbookView xWindow="-108" yWindow="-108" windowWidth="23256" windowHeight="12456" tabRatio="839" firstSheet="7" activeTab="12" xr2:uid="{00000000-000D-0000-FFFF-FFFF00000000}"/>
  </bookViews>
  <sheets>
    <sheet name="cashflow" sheetId="1" r:id="rId1"/>
    <sheet name="Bal.sheet" sheetId="2" r:id="rId2"/>
    <sheet name="PL" sheetId="3" r:id="rId3"/>
    <sheet name="sources" sheetId="4" r:id="rId4"/>
    <sheet name="Assumption" sheetId="5" r:id="rId5"/>
    <sheet name="financial satement" sheetId="6" r:id="rId6"/>
    <sheet name="PPE Schedule" sheetId="7" r:id="rId7"/>
    <sheet name="ratios" sheetId="8" r:id="rId8"/>
    <sheet name="beta" sheetId="9" r:id="rId9"/>
    <sheet name="Historicial beta" sheetId="10" r:id="rId10"/>
    <sheet name="Fundamental beta" sheetId="11" r:id="rId11"/>
    <sheet name="Accounting beta" sheetId="12" r:id="rId12"/>
    <sheet name="WACC" sheetId="14" r:id="rId13"/>
    <sheet name="EVA" sheetId="15" r:id="rId14"/>
    <sheet name="DCF" sheetId="16" r:id="rId15"/>
    <sheet name="all ratios forcasted" sheetId="17" r:id="rId16"/>
    <sheet name="key ratio forcasted" sheetId="18" r:id="rId17"/>
    <sheet name="Hmodel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7" l="1"/>
  <c r="D26" i="17"/>
  <c r="B32" i="16"/>
  <c r="G26" i="16"/>
  <c r="N22" i="16"/>
  <c r="N23" i="16" s="1"/>
  <c r="N21" i="16"/>
  <c r="N19" i="16"/>
  <c r="B12" i="16"/>
  <c r="N17" i="16" s="1"/>
  <c r="B10" i="16"/>
  <c r="B7" i="16"/>
  <c r="C5" i="15"/>
  <c r="F25" i="13"/>
  <c r="F26" i="13" s="1"/>
  <c r="F27" i="13" s="1"/>
  <c r="F7" i="13"/>
  <c r="E9" i="13" s="1"/>
  <c r="F6" i="13"/>
  <c r="F5" i="13"/>
  <c r="E3" i="12"/>
  <c r="K16" i="11"/>
  <c r="J16" i="11"/>
  <c r="J15" i="11" s="1"/>
  <c r="K13" i="11"/>
  <c r="J13" i="11"/>
  <c r="I13" i="11"/>
  <c r="H13" i="11"/>
  <c r="G13" i="11"/>
  <c r="F13" i="11"/>
  <c r="E13" i="11"/>
  <c r="D13" i="11"/>
  <c r="C13" i="11"/>
  <c r="B13" i="11"/>
  <c r="B9" i="11"/>
  <c r="C9" i="11" s="1"/>
  <c r="C8" i="11"/>
  <c r="B8" i="11"/>
  <c r="C7" i="11"/>
  <c r="B7" i="11"/>
  <c r="B6" i="11"/>
  <c r="C6" i="11" s="1"/>
  <c r="B5" i="11"/>
  <c r="C5" i="11" s="1"/>
  <c r="S38" i="10"/>
  <c r="S37" i="10"/>
  <c r="T36" i="10"/>
  <c r="S36" i="10"/>
  <c r="J24" i="10"/>
  <c r="C24" i="10"/>
  <c r="J23" i="10"/>
  <c r="C23" i="10"/>
  <c r="K22" i="10"/>
  <c r="J22" i="10"/>
  <c r="D22" i="10"/>
  <c r="C22" i="10"/>
  <c r="F3" i="9"/>
  <c r="K20" i="8"/>
  <c r="J20" i="8"/>
  <c r="I20" i="8"/>
  <c r="H20" i="8"/>
  <c r="G20" i="8"/>
  <c r="F20" i="8"/>
  <c r="E20" i="8"/>
  <c r="D20" i="8"/>
  <c r="C20" i="8"/>
  <c r="B20" i="8"/>
  <c r="B19" i="8"/>
  <c r="K17" i="8"/>
  <c r="C17" i="8"/>
  <c r="I10" i="8"/>
  <c r="H10" i="8"/>
  <c r="I9" i="8"/>
  <c r="F8" i="8"/>
  <c r="B8" i="8"/>
  <c r="J7" i="8"/>
  <c r="K10" i="7"/>
  <c r="L5" i="7" s="1"/>
  <c r="J10" i="7"/>
  <c r="I10" i="7"/>
  <c r="H10" i="7"/>
  <c r="G10" i="7"/>
  <c r="F10" i="7"/>
  <c r="E10" i="7"/>
  <c r="D10" i="7"/>
  <c r="C10" i="7"/>
  <c r="B10" i="7"/>
  <c r="I9" i="7"/>
  <c r="H9" i="7"/>
  <c r="G9" i="7"/>
  <c r="F9" i="7"/>
  <c r="D9" i="7"/>
  <c r="B9" i="7"/>
  <c r="K8" i="7"/>
  <c r="J8" i="7"/>
  <c r="I8" i="7"/>
  <c r="H8" i="7"/>
  <c r="G8" i="7"/>
  <c r="F8" i="7"/>
  <c r="E8" i="7"/>
  <c r="D8" i="7"/>
  <c r="C8" i="7"/>
  <c r="B8" i="7"/>
  <c r="I7" i="7"/>
  <c r="D7" i="7"/>
  <c r="B7" i="7"/>
  <c r="K6" i="7"/>
  <c r="J6" i="7"/>
  <c r="I6" i="7"/>
  <c r="H6" i="7"/>
  <c r="H7" i="7" s="1"/>
  <c r="G6" i="7"/>
  <c r="G7" i="7" s="1"/>
  <c r="F6" i="7"/>
  <c r="E6" i="7"/>
  <c r="D6" i="7"/>
  <c r="C6" i="7"/>
  <c r="B6" i="7"/>
  <c r="K5" i="7"/>
  <c r="K9" i="7" s="1"/>
  <c r="J5" i="7"/>
  <c r="J9" i="7" s="1"/>
  <c r="I5" i="7"/>
  <c r="H5" i="7"/>
  <c r="G5" i="7"/>
  <c r="F5" i="7"/>
  <c r="E5" i="7"/>
  <c r="E9" i="7" s="1"/>
  <c r="D5" i="7"/>
  <c r="C5" i="7"/>
  <c r="C9" i="7" s="1"/>
  <c r="K4" i="7"/>
  <c r="K7" i="7" s="1"/>
  <c r="J4" i="7"/>
  <c r="J7" i="7" s="1"/>
  <c r="I4" i="7"/>
  <c r="H4" i="7"/>
  <c r="G4" i="7"/>
  <c r="F4" i="7"/>
  <c r="E4" i="7"/>
  <c r="E7" i="7" s="1"/>
  <c r="D4" i="7"/>
  <c r="C4" i="7"/>
  <c r="C7" i="7" s="1"/>
  <c r="B4" i="7"/>
  <c r="J109" i="6"/>
  <c r="I109" i="6"/>
  <c r="K107" i="6"/>
  <c r="L106" i="6" s="1"/>
  <c r="J107" i="6"/>
  <c r="I107" i="6"/>
  <c r="H107" i="6"/>
  <c r="G107" i="6"/>
  <c r="F107" i="6"/>
  <c r="E107" i="6"/>
  <c r="D107" i="6"/>
  <c r="C107" i="6"/>
  <c r="B107" i="6"/>
  <c r="K106" i="6"/>
  <c r="J106" i="6"/>
  <c r="I106" i="6"/>
  <c r="H106" i="6"/>
  <c r="G106" i="6"/>
  <c r="F106" i="6"/>
  <c r="E106" i="6"/>
  <c r="D106" i="6"/>
  <c r="C106" i="6"/>
  <c r="B106" i="6"/>
  <c r="K105" i="6"/>
  <c r="J105" i="6"/>
  <c r="I105" i="6"/>
  <c r="H105" i="6"/>
  <c r="G105" i="6"/>
  <c r="F105" i="6"/>
  <c r="E105" i="6"/>
  <c r="D105" i="6"/>
  <c r="C105" i="6"/>
  <c r="B105" i="6"/>
  <c r="K103" i="6"/>
  <c r="J103" i="6"/>
  <c r="I103" i="6"/>
  <c r="H103" i="6"/>
  <c r="G103" i="6"/>
  <c r="F103" i="6"/>
  <c r="E103" i="6"/>
  <c r="D103" i="6"/>
  <c r="C103" i="6"/>
  <c r="B103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K101" i="6"/>
  <c r="J101" i="6"/>
  <c r="I101" i="6"/>
  <c r="H101" i="6"/>
  <c r="G101" i="6"/>
  <c r="F101" i="6"/>
  <c r="E101" i="6"/>
  <c r="D101" i="6"/>
  <c r="C101" i="6"/>
  <c r="B101" i="6"/>
  <c r="K99" i="6"/>
  <c r="J99" i="6"/>
  <c r="I99" i="6"/>
  <c r="H99" i="6"/>
  <c r="G99" i="6"/>
  <c r="F99" i="6"/>
  <c r="E99" i="6"/>
  <c r="D99" i="6"/>
  <c r="C99" i="6"/>
  <c r="B99" i="6"/>
  <c r="K98" i="6"/>
  <c r="J98" i="6"/>
  <c r="I98" i="6"/>
  <c r="H98" i="6"/>
  <c r="G98" i="6"/>
  <c r="F98" i="6"/>
  <c r="E98" i="6"/>
  <c r="D98" i="6"/>
  <c r="C98" i="6"/>
  <c r="B98" i="6"/>
  <c r="K96" i="6"/>
  <c r="J96" i="6"/>
  <c r="I96" i="6"/>
  <c r="H96" i="6"/>
  <c r="G96" i="6"/>
  <c r="F96" i="6"/>
  <c r="E96" i="6"/>
  <c r="D96" i="6"/>
  <c r="C96" i="6"/>
  <c r="B96" i="6"/>
  <c r="K95" i="6"/>
  <c r="J95" i="6"/>
  <c r="I95" i="6"/>
  <c r="H95" i="6"/>
  <c r="G95" i="6"/>
  <c r="F95" i="6"/>
  <c r="E95" i="6"/>
  <c r="D95" i="6"/>
  <c r="C95" i="6"/>
  <c r="B95" i="6"/>
  <c r="K94" i="6"/>
  <c r="J94" i="6"/>
  <c r="I94" i="6"/>
  <c r="H94" i="6"/>
  <c r="G94" i="6"/>
  <c r="F94" i="6"/>
  <c r="E94" i="6"/>
  <c r="D94" i="6"/>
  <c r="C94" i="6"/>
  <c r="B94" i="6"/>
  <c r="K92" i="6"/>
  <c r="J92" i="6"/>
  <c r="I92" i="6"/>
  <c r="H92" i="6"/>
  <c r="G92" i="6"/>
  <c r="F92" i="6"/>
  <c r="E92" i="6"/>
  <c r="D92" i="6"/>
  <c r="C92" i="6"/>
  <c r="B92" i="6"/>
  <c r="K91" i="6"/>
  <c r="J91" i="6"/>
  <c r="I91" i="6"/>
  <c r="H91" i="6"/>
  <c r="G91" i="6"/>
  <c r="F91" i="6"/>
  <c r="E91" i="6"/>
  <c r="D91" i="6"/>
  <c r="C91" i="6"/>
  <c r="B91" i="6"/>
  <c r="K90" i="6"/>
  <c r="J90" i="6"/>
  <c r="I90" i="6"/>
  <c r="H90" i="6"/>
  <c r="G90" i="6"/>
  <c r="F90" i="6"/>
  <c r="E90" i="6"/>
  <c r="D90" i="6"/>
  <c r="C90" i="6"/>
  <c r="B90" i="6"/>
  <c r="K89" i="6"/>
  <c r="J89" i="6"/>
  <c r="I89" i="6"/>
  <c r="H89" i="6"/>
  <c r="G89" i="6"/>
  <c r="F89" i="6"/>
  <c r="E89" i="6"/>
  <c r="D89" i="6"/>
  <c r="C89" i="6"/>
  <c r="B89" i="6"/>
  <c r="I87" i="6"/>
  <c r="H87" i="6"/>
  <c r="K86" i="6"/>
  <c r="J86" i="6"/>
  <c r="I86" i="6"/>
  <c r="H86" i="6"/>
  <c r="G86" i="6"/>
  <c r="G87" i="6" s="1"/>
  <c r="F86" i="6"/>
  <c r="E86" i="6"/>
  <c r="D86" i="6"/>
  <c r="C86" i="6"/>
  <c r="B86" i="6"/>
  <c r="K85" i="6"/>
  <c r="J85" i="6"/>
  <c r="I85" i="6"/>
  <c r="H85" i="6"/>
  <c r="G85" i="6"/>
  <c r="F85" i="6"/>
  <c r="E85" i="6"/>
  <c r="D85" i="6"/>
  <c r="C85" i="6"/>
  <c r="B85" i="6"/>
  <c r="K84" i="6"/>
  <c r="K87" i="6" s="1"/>
  <c r="J84" i="6"/>
  <c r="J87" i="6" s="1"/>
  <c r="I84" i="6"/>
  <c r="H84" i="6"/>
  <c r="G84" i="6"/>
  <c r="F84" i="6"/>
  <c r="E84" i="6"/>
  <c r="D84" i="6"/>
  <c r="C84" i="6"/>
  <c r="C87" i="6" s="1"/>
  <c r="B84" i="6"/>
  <c r="B87" i="6" s="1"/>
  <c r="K78" i="6"/>
  <c r="J78" i="6"/>
  <c r="I78" i="6"/>
  <c r="H78" i="6"/>
  <c r="G78" i="6"/>
  <c r="F78" i="6"/>
  <c r="E78" i="6"/>
  <c r="E109" i="6" s="1"/>
  <c r="D78" i="6"/>
  <c r="D109" i="6" s="1"/>
  <c r="C78" i="6"/>
  <c r="B78" i="6"/>
  <c r="B109" i="6" s="1"/>
  <c r="K75" i="6"/>
  <c r="J75" i="6"/>
  <c r="I75" i="6"/>
  <c r="H75" i="6"/>
  <c r="G75" i="6"/>
  <c r="F75" i="6"/>
  <c r="E75" i="6"/>
  <c r="D75" i="6"/>
  <c r="C75" i="6"/>
  <c r="B75" i="6"/>
  <c r="K70" i="6"/>
  <c r="J70" i="6"/>
  <c r="I70" i="6"/>
  <c r="H70" i="6"/>
  <c r="G70" i="6"/>
  <c r="F70" i="6"/>
  <c r="E70" i="6"/>
  <c r="D70" i="6"/>
  <c r="C70" i="6"/>
  <c r="B70" i="6"/>
  <c r="K69" i="6"/>
  <c r="J69" i="6"/>
  <c r="I69" i="6"/>
  <c r="H69" i="6"/>
  <c r="G69" i="6"/>
  <c r="F69" i="6"/>
  <c r="E69" i="6"/>
  <c r="D69" i="6"/>
  <c r="C69" i="6"/>
  <c r="B69" i="6"/>
  <c r="K68" i="6"/>
  <c r="J68" i="6"/>
  <c r="I68" i="6"/>
  <c r="H68" i="6"/>
  <c r="G68" i="6"/>
  <c r="F68" i="6"/>
  <c r="E68" i="6"/>
  <c r="D68" i="6"/>
  <c r="C68" i="6"/>
  <c r="B68" i="6"/>
  <c r="K67" i="6"/>
  <c r="J67" i="6"/>
  <c r="I67" i="6"/>
  <c r="H67" i="6"/>
  <c r="G67" i="6"/>
  <c r="F67" i="6"/>
  <c r="E67" i="6"/>
  <c r="D67" i="6"/>
  <c r="C67" i="6"/>
  <c r="B67" i="6"/>
  <c r="K64" i="6"/>
  <c r="J64" i="6"/>
  <c r="I64" i="6"/>
  <c r="H64" i="6"/>
  <c r="G64" i="6"/>
  <c r="F64" i="6"/>
  <c r="E64" i="6"/>
  <c r="D64" i="6"/>
  <c r="C64" i="6"/>
  <c r="B64" i="6"/>
  <c r="K63" i="6"/>
  <c r="J63" i="6"/>
  <c r="I63" i="6"/>
  <c r="H63" i="6"/>
  <c r="G63" i="6"/>
  <c r="F63" i="6"/>
  <c r="E63" i="6"/>
  <c r="D63" i="6"/>
  <c r="C63" i="6"/>
  <c r="B63" i="6"/>
  <c r="K62" i="6"/>
  <c r="J62" i="6"/>
  <c r="I62" i="6"/>
  <c r="H62" i="6"/>
  <c r="G62" i="6"/>
  <c r="G65" i="6" s="1"/>
  <c r="F62" i="6"/>
  <c r="E62" i="6"/>
  <c r="D62" i="6"/>
  <c r="C62" i="6"/>
  <c r="B62" i="6"/>
  <c r="K61" i="6"/>
  <c r="K65" i="6" s="1"/>
  <c r="J61" i="6"/>
  <c r="I61" i="6"/>
  <c r="H61" i="6"/>
  <c r="G61" i="6"/>
  <c r="F61" i="6"/>
  <c r="E61" i="6"/>
  <c r="D61" i="6"/>
  <c r="C61" i="6"/>
  <c r="B61" i="6"/>
  <c r="K60" i="6"/>
  <c r="J60" i="6"/>
  <c r="I60" i="6"/>
  <c r="H60" i="6"/>
  <c r="G60" i="6"/>
  <c r="F60" i="6"/>
  <c r="E60" i="6"/>
  <c r="D60" i="6"/>
  <c r="C60" i="6"/>
  <c r="B60" i="6"/>
  <c r="P58" i="6"/>
  <c r="O58" i="6"/>
  <c r="N58" i="6"/>
  <c r="M58" i="6"/>
  <c r="L58" i="6"/>
  <c r="K58" i="6"/>
  <c r="J58" i="6"/>
  <c r="I58" i="6"/>
  <c r="I65" i="6" s="1"/>
  <c r="H58" i="6"/>
  <c r="H65" i="6" s="1"/>
  <c r="G58" i="6"/>
  <c r="F58" i="6"/>
  <c r="E58" i="6"/>
  <c r="D58" i="6"/>
  <c r="C58" i="6"/>
  <c r="B58" i="6"/>
  <c r="K56" i="6"/>
  <c r="K109" i="6" s="1"/>
  <c r="J56" i="6"/>
  <c r="I56" i="6"/>
  <c r="H56" i="6"/>
  <c r="H109" i="6" s="1"/>
  <c r="G56" i="6"/>
  <c r="F56" i="6"/>
  <c r="E56" i="6"/>
  <c r="D56" i="6"/>
  <c r="C56" i="6"/>
  <c r="C109" i="6" s="1"/>
  <c r="B56" i="6"/>
  <c r="K54" i="6"/>
  <c r="J54" i="6"/>
  <c r="I54" i="6"/>
  <c r="H54" i="6"/>
  <c r="G54" i="6"/>
  <c r="F54" i="6"/>
  <c r="E54" i="6"/>
  <c r="D54" i="6"/>
  <c r="C54" i="6"/>
  <c r="B54" i="6"/>
  <c r="K53" i="6"/>
  <c r="J53" i="6"/>
  <c r="I53" i="6"/>
  <c r="H53" i="6"/>
  <c r="G53" i="6"/>
  <c r="F53" i="6"/>
  <c r="E53" i="6"/>
  <c r="D53" i="6"/>
  <c r="C53" i="6"/>
  <c r="B53" i="6"/>
  <c r="K51" i="6"/>
  <c r="J51" i="6"/>
  <c r="I51" i="6"/>
  <c r="H51" i="6"/>
  <c r="G51" i="6"/>
  <c r="F51" i="6"/>
  <c r="E51" i="6"/>
  <c r="D51" i="6"/>
  <c r="C51" i="6"/>
  <c r="B51" i="6"/>
  <c r="K50" i="6"/>
  <c r="J50" i="6"/>
  <c r="I50" i="6"/>
  <c r="H50" i="6"/>
  <c r="G50" i="6"/>
  <c r="F50" i="6"/>
  <c r="E50" i="6"/>
  <c r="D50" i="6"/>
  <c r="C50" i="6"/>
  <c r="B50" i="6"/>
  <c r="K49" i="6"/>
  <c r="J49" i="6"/>
  <c r="I49" i="6"/>
  <c r="H49" i="6"/>
  <c r="G49" i="6"/>
  <c r="F49" i="6"/>
  <c r="E49" i="6"/>
  <c r="D49" i="6"/>
  <c r="C49" i="6"/>
  <c r="B49" i="6"/>
  <c r="K47" i="6"/>
  <c r="J47" i="6"/>
  <c r="I47" i="6"/>
  <c r="H47" i="6"/>
  <c r="G47" i="6"/>
  <c r="F47" i="6"/>
  <c r="E47" i="6"/>
  <c r="D47" i="6"/>
  <c r="C47" i="6"/>
  <c r="B47" i="6"/>
  <c r="K46" i="6"/>
  <c r="J46" i="6"/>
  <c r="I46" i="6"/>
  <c r="H46" i="6"/>
  <c r="G46" i="6"/>
  <c r="F46" i="6"/>
  <c r="E46" i="6"/>
  <c r="D46" i="6"/>
  <c r="C46" i="6"/>
  <c r="B46" i="6"/>
  <c r="K45" i="6"/>
  <c r="J45" i="6"/>
  <c r="I45" i="6"/>
  <c r="H45" i="6"/>
  <c r="G45" i="6"/>
  <c r="F45" i="6"/>
  <c r="E45" i="6"/>
  <c r="D45" i="6"/>
  <c r="C45" i="6"/>
  <c r="B45" i="6"/>
  <c r="K44" i="6"/>
  <c r="J44" i="6"/>
  <c r="I44" i="6"/>
  <c r="H44" i="6"/>
  <c r="G44" i="6"/>
  <c r="F44" i="6"/>
  <c r="E44" i="6"/>
  <c r="D44" i="6"/>
  <c r="C44" i="6"/>
  <c r="B44" i="6"/>
  <c r="K43" i="6"/>
  <c r="J43" i="6"/>
  <c r="I43" i="6"/>
  <c r="H43" i="6"/>
  <c r="G43" i="6"/>
  <c r="F43" i="6"/>
  <c r="E43" i="6"/>
  <c r="D43" i="6"/>
  <c r="C43" i="6"/>
  <c r="B43" i="6"/>
  <c r="K41" i="6"/>
  <c r="J41" i="6"/>
  <c r="I41" i="6"/>
  <c r="H41" i="6"/>
  <c r="G41" i="6"/>
  <c r="F41" i="6"/>
  <c r="E41" i="6"/>
  <c r="D41" i="6"/>
  <c r="C41" i="6"/>
  <c r="B41" i="6"/>
  <c r="K39" i="6"/>
  <c r="J39" i="6"/>
  <c r="I39" i="6"/>
  <c r="H39" i="6"/>
  <c r="G39" i="6"/>
  <c r="F39" i="6"/>
  <c r="E39" i="6"/>
  <c r="D39" i="6"/>
  <c r="C39" i="6"/>
  <c r="B39" i="6"/>
  <c r="P38" i="6"/>
  <c r="O38" i="6"/>
  <c r="N38" i="6"/>
  <c r="M38" i="6"/>
  <c r="L38" i="6"/>
  <c r="K38" i="6"/>
  <c r="E26" i="17" s="1"/>
  <c r="J38" i="6"/>
  <c r="I38" i="6"/>
  <c r="H38" i="6"/>
  <c r="G38" i="6"/>
  <c r="F38" i="6"/>
  <c r="E38" i="6"/>
  <c r="D38" i="6"/>
  <c r="C38" i="6"/>
  <c r="B38" i="6"/>
  <c r="K32" i="6"/>
  <c r="J32" i="6"/>
  <c r="I32" i="6"/>
  <c r="H32" i="6"/>
  <c r="G32" i="6"/>
  <c r="F32" i="6"/>
  <c r="E32" i="6"/>
  <c r="D32" i="6"/>
  <c r="C32" i="6"/>
  <c r="B32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K30" i="6"/>
  <c r="J30" i="6"/>
  <c r="I30" i="6"/>
  <c r="H30" i="6"/>
  <c r="G30" i="6"/>
  <c r="F30" i="6"/>
  <c r="E30" i="6"/>
  <c r="D30" i="6"/>
  <c r="C30" i="6"/>
  <c r="B30" i="6"/>
  <c r="K28" i="6"/>
  <c r="J28" i="6"/>
  <c r="I28" i="6"/>
  <c r="H28" i="6"/>
  <c r="G28" i="6"/>
  <c r="F28" i="6"/>
  <c r="E28" i="6"/>
  <c r="D28" i="6"/>
  <c r="C28" i="6"/>
  <c r="B28" i="6"/>
  <c r="K27" i="6"/>
  <c r="J27" i="6"/>
  <c r="I27" i="6"/>
  <c r="H27" i="6"/>
  <c r="G27" i="6"/>
  <c r="F27" i="6"/>
  <c r="E27" i="6"/>
  <c r="D27" i="6"/>
  <c r="C27" i="6"/>
  <c r="B27" i="6"/>
  <c r="P26" i="6"/>
  <c r="O26" i="6"/>
  <c r="N26" i="6"/>
  <c r="M26" i="6"/>
  <c r="L26" i="6"/>
  <c r="K26" i="6"/>
  <c r="C26" i="6"/>
  <c r="K24" i="6"/>
  <c r="J24" i="6"/>
  <c r="I24" i="6"/>
  <c r="H24" i="6"/>
  <c r="G24" i="6"/>
  <c r="F24" i="6"/>
  <c r="E24" i="6"/>
  <c r="D24" i="6"/>
  <c r="C24" i="6"/>
  <c r="B24" i="6"/>
  <c r="K21" i="6"/>
  <c r="J21" i="6"/>
  <c r="I21" i="6"/>
  <c r="H21" i="6"/>
  <c r="G21" i="6"/>
  <c r="F21" i="6"/>
  <c r="E21" i="6"/>
  <c r="D21" i="6"/>
  <c r="C21" i="6"/>
  <c r="B21" i="6"/>
  <c r="K18" i="6"/>
  <c r="J18" i="6"/>
  <c r="I18" i="6"/>
  <c r="H18" i="6"/>
  <c r="G18" i="6"/>
  <c r="F18" i="6"/>
  <c r="F19" i="6" s="1"/>
  <c r="F22" i="6" s="1"/>
  <c r="F25" i="6" s="1"/>
  <c r="F29" i="6" s="1"/>
  <c r="E18" i="6"/>
  <c r="D18" i="6"/>
  <c r="C18" i="6"/>
  <c r="B18" i="6"/>
  <c r="K17" i="6"/>
  <c r="J17" i="6"/>
  <c r="I17" i="6"/>
  <c r="H17" i="6"/>
  <c r="G17" i="6"/>
  <c r="F17" i="6"/>
  <c r="E17" i="6"/>
  <c r="D17" i="6"/>
  <c r="C17" i="6"/>
  <c r="B17" i="6"/>
  <c r="F15" i="6"/>
  <c r="J14" i="6"/>
  <c r="F14" i="6"/>
  <c r="K13" i="6"/>
  <c r="J13" i="6"/>
  <c r="I13" i="6"/>
  <c r="H13" i="6"/>
  <c r="G13" i="6"/>
  <c r="F13" i="6"/>
  <c r="E13" i="6"/>
  <c r="D13" i="6"/>
  <c r="C13" i="6"/>
  <c r="B13" i="6"/>
  <c r="K12" i="6"/>
  <c r="J12" i="6"/>
  <c r="I12" i="6"/>
  <c r="H12" i="6"/>
  <c r="G12" i="6"/>
  <c r="F12" i="6"/>
  <c r="E12" i="6"/>
  <c r="E14" i="6" s="1"/>
  <c r="D12" i="6"/>
  <c r="D14" i="6" s="1"/>
  <c r="C12" i="6"/>
  <c r="C14" i="6" s="1"/>
  <c r="B12" i="6"/>
  <c r="K11" i="6"/>
  <c r="J11" i="6"/>
  <c r="I11" i="6"/>
  <c r="H11" i="6"/>
  <c r="H14" i="6" s="1"/>
  <c r="H15" i="6" s="1"/>
  <c r="H19" i="6" s="1"/>
  <c r="G11" i="6"/>
  <c r="G14" i="6" s="1"/>
  <c r="G15" i="6" s="1"/>
  <c r="G19" i="6" s="1"/>
  <c r="G22" i="6" s="1"/>
  <c r="F11" i="6"/>
  <c r="E11" i="6"/>
  <c r="D11" i="6"/>
  <c r="C11" i="6"/>
  <c r="B11" i="6"/>
  <c r="K9" i="6"/>
  <c r="J9" i="6"/>
  <c r="I9" i="6"/>
  <c r="H9" i="6"/>
  <c r="G9" i="6"/>
  <c r="F9" i="6"/>
  <c r="E9" i="6"/>
  <c r="E15" i="6" s="1"/>
  <c r="E19" i="6" s="1"/>
  <c r="E22" i="6" s="1"/>
  <c r="E25" i="6" s="1"/>
  <c r="E29" i="6" s="1"/>
  <c r="D9" i="6"/>
  <c r="C9" i="6"/>
  <c r="C15" i="6" s="1"/>
  <c r="C19" i="6" s="1"/>
  <c r="C22" i="6" s="1"/>
  <c r="C25" i="6" s="1"/>
  <c r="C29" i="6" s="1"/>
  <c r="B9" i="6"/>
  <c r="K8" i="6"/>
  <c r="J8" i="6"/>
  <c r="I8" i="6"/>
  <c r="H8" i="6"/>
  <c r="G8" i="6"/>
  <c r="F8" i="6"/>
  <c r="E8" i="6"/>
  <c r="D8" i="6"/>
  <c r="C8" i="6"/>
  <c r="B8" i="6"/>
  <c r="K7" i="6"/>
  <c r="J7" i="6"/>
  <c r="I7" i="6"/>
  <c r="H7" i="6"/>
  <c r="G7" i="6"/>
  <c r="F7" i="6"/>
  <c r="E7" i="6"/>
  <c r="D7" i="6"/>
  <c r="C7" i="6"/>
  <c r="B7" i="6"/>
  <c r="K90" i="5"/>
  <c r="I90" i="5"/>
  <c r="E90" i="5"/>
  <c r="D83" i="5"/>
  <c r="K81" i="5"/>
  <c r="J81" i="5"/>
  <c r="D81" i="5"/>
  <c r="K80" i="5"/>
  <c r="J80" i="5"/>
  <c r="I80" i="5"/>
  <c r="H80" i="5"/>
  <c r="G80" i="5"/>
  <c r="F80" i="5"/>
  <c r="E80" i="5"/>
  <c r="D80" i="5"/>
  <c r="C80" i="5"/>
  <c r="B80" i="5"/>
  <c r="J79" i="5"/>
  <c r="I79" i="5"/>
  <c r="L78" i="5"/>
  <c r="K78" i="5"/>
  <c r="K10" i="8" s="1"/>
  <c r="J78" i="5"/>
  <c r="K79" i="5" s="1"/>
  <c r="I78" i="5"/>
  <c r="E5" i="12" s="1"/>
  <c r="H78" i="5"/>
  <c r="E6" i="12" s="1"/>
  <c r="G78" i="5"/>
  <c r="F78" i="5"/>
  <c r="E78" i="5"/>
  <c r="D78" i="5"/>
  <c r="C78" i="5"/>
  <c r="B78" i="5"/>
  <c r="B10" i="8" s="1"/>
  <c r="K77" i="5"/>
  <c r="J77" i="5"/>
  <c r="I77" i="5"/>
  <c r="H77" i="5"/>
  <c r="G77" i="5"/>
  <c r="F77" i="5"/>
  <c r="E77" i="5"/>
  <c r="D77" i="5"/>
  <c r="C77" i="5"/>
  <c r="B77" i="5"/>
  <c r="K76" i="5"/>
  <c r="J76" i="5"/>
  <c r="I76" i="5"/>
  <c r="H76" i="5"/>
  <c r="G76" i="5"/>
  <c r="F76" i="5"/>
  <c r="E76" i="5"/>
  <c r="D76" i="5"/>
  <c r="C76" i="5"/>
  <c r="B76" i="5"/>
  <c r="K75" i="5"/>
  <c r="J75" i="5"/>
  <c r="I75" i="5"/>
  <c r="H75" i="5"/>
  <c r="G75" i="5"/>
  <c r="F75" i="5"/>
  <c r="E75" i="5"/>
  <c r="D75" i="5"/>
  <c r="C75" i="5"/>
  <c r="B75" i="5"/>
  <c r="K74" i="5"/>
  <c r="J74" i="5"/>
  <c r="I74" i="5"/>
  <c r="H74" i="5"/>
  <c r="G74" i="5"/>
  <c r="F74" i="5"/>
  <c r="E74" i="5"/>
  <c r="D74" i="5"/>
  <c r="C74" i="5"/>
  <c r="B74" i="5"/>
  <c r="K73" i="5"/>
  <c r="J73" i="5"/>
  <c r="I73" i="5"/>
  <c r="H73" i="5"/>
  <c r="G73" i="5"/>
  <c r="F73" i="5"/>
  <c r="E73" i="5"/>
  <c r="D73" i="5"/>
  <c r="C73" i="5"/>
  <c r="B73" i="5"/>
  <c r="J72" i="5"/>
  <c r="G72" i="5"/>
  <c r="F72" i="5"/>
  <c r="C72" i="5"/>
  <c r="K71" i="5"/>
  <c r="J71" i="5"/>
  <c r="I71" i="5"/>
  <c r="C33" i="17" s="1"/>
  <c r="H71" i="5"/>
  <c r="B33" i="17" s="1"/>
  <c r="G71" i="5"/>
  <c r="F71" i="5"/>
  <c r="E71" i="5"/>
  <c r="E72" i="5" s="1"/>
  <c r="D71" i="5"/>
  <c r="D72" i="5" s="1"/>
  <c r="C71" i="5"/>
  <c r="B71" i="5"/>
  <c r="K70" i="5"/>
  <c r="J70" i="5"/>
  <c r="I70" i="5"/>
  <c r="H70" i="5"/>
  <c r="G70" i="5"/>
  <c r="F70" i="5"/>
  <c r="E70" i="5"/>
  <c r="D70" i="5"/>
  <c r="C70" i="5"/>
  <c r="B70" i="5"/>
  <c r="K69" i="5"/>
  <c r="E30" i="17" s="1"/>
  <c r="J69" i="5"/>
  <c r="I69" i="5"/>
  <c r="H69" i="5"/>
  <c r="G69" i="5"/>
  <c r="F69" i="5"/>
  <c r="E69" i="5"/>
  <c r="E18" i="8" s="1"/>
  <c r="D69" i="5"/>
  <c r="C69" i="5"/>
  <c r="C18" i="8" s="1"/>
  <c r="B69" i="5"/>
  <c r="B18" i="8" s="1"/>
  <c r="K68" i="5"/>
  <c r="J68" i="5"/>
  <c r="I68" i="5"/>
  <c r="H68" i="5"/>
  <c r="G68" i="5"/>
  <c r="F68" i="5"/>
  <c r="E68" i="5"/>
  <c r="D68" i="5"/>
  <c r="C68" i="5"/>
  <c r="B68" i="5"/>
  <c r="H67" i="5"/>
  <c r="K66" i="5"/>
  <c r="J66" i="5"/>
  <c r="I66" i="5"/>
  <c r="I4" i="8" s="1"/>
  <c r="H66" i="5"/>
  <c r="G66" i="5"/>
  <c r="G67" i="5" s="1"/>
  <c r="F66" i="5"/>
  <c r="E66" i="5"/>
  <c r="D66" i="5"/>
  <c r="C66" i="5"/>
  <c r="C84" i="5" s="1"/>
  <c r="B66" i="5"/>
  <c r="K65" i="5"/>
  <c r="J65" i="5"/>
  <c r="I65" i="5"/>
  <c r="H65" i="5"/>
  <c r="G65" i="5"/>
  <c r="F65" i="5"/>
  <c r="E65" i="5"/>
  <c r="D65" i="5"/>
  <c r="C65" i="5"/>
  <c r="B65" i="5"/>
  <c r="K64" i="5"/>
  <c r="J64" i="5"/>
  <c r="I64" i="5"/>
  <c r="H64" i="5"/>
  <c r="G64" i="5"/>
  <c r="F64" i="5"/>
  <c r="E64" i="5"/>
  <c r="D64" i="5"/>
  <c r="C64" i="5"/>
  <c r="B64" i="5"/>
  <c r="K63" i="5"/>
  <c r="J63" i="5"/>
  <c r="I63" i="5"/>
  <c r="I82" i="5" s="1"/>
  <c r="H63" i="5"/>
  <c r="G63" i="5"/>
  <c r="G82" i="5" s="1"/>
  <c r="F63" i="5"/>
  <c r="E63" i="5"/>
  <c r="D63" i="5"/>
  <c r="D82" i="5" s="1"/>
  <c r="C63" i="5"/>
  <c r="B63" i="5"/>
  <c r="E62" i="5"/>
  <c r="D62" i="5"/>
  <c r="K61" i="5"/>
  <c r="K62" i="5" s="1"/>
  <c r="J61" i="5"/>
  <c r="J62" i="5" s="1"/>
  <c r="I61" i="5"/>
  <c r="I62" i="5" s="1"/>
  <c r="H61" i="5"/>
  <c r="H81" i="5" s="1"/>
  <c r="G61" i="5"/>
  <c r="F61" i="5"/>
  <c r="E61" i="5"/>
  <c r="D61" i="5"/>
  <c r="D4" i="8" s="1"/>
  <c r="C61" i="5"/>
  <c r="B61" i="5"/>
  <c r="K60" i="5"/>
  <c r="J60" i="5"/>
  <c r="I60" i="5"/>
  <c r="H60" i="5"/>
  <c r="G60" i="5"/>
  <c r="F60" i="5"/>
  <c r="E60" i="5"/>
  <c r="D60" i="5"/>
  <c r="C60" i="5"/>
  <c r="B60" i="5"/>
  <c r="K59" i="5"/>
  <c r="J59" i="5"/>
  <c r="I59" i="5"/>
  <c r="H59" i="5"/>
  <c r="G59" i="5"/>
  <c r="F59" i="5"/>
  <c r="E59" i="5"/>
  <c r="D59" i="5"/>
  <c r="C59" i="5"/>
  <c r="B59" i="5"/>
  <c r="K58" i="5"/>
  <c r="J58" i="5"/>
  <c r="I58" i="5"/>
  <c r="H58" i="5"/>
  <c r="G58" i="5"/>
  <c r="F58" i="5"/>
  <c r="E58" i="5"/>
  <c r="D58" i="5"/>
  <c r="C58" i="5"/>
  <c r="B58" i="5"/>
  <c r="F57" i="5"/>
  <c r="E57" i="5"/>
  <c r="K56" i="5"/>
  <c r="J56" i="5"/>
  <c r="J57" i="5" s="1"/>
  <c r="I56" i="5"/>
  <c r="I57" i="5" s="1"/>
  <c r="H56" i="5"/>
  <c r="H57" i="5" s="1"/>
  <c r="G56" i="5"/>
  <c r="F56" i="5"/>
  <c r="E56" i="5"/>
  <c r="D56" i="5"/>
  <c r="D57" i="5" s="1"/>
  <c r="C56" i="5"/>
  <c r="B56" i="5"/>
  <c r="C57" i="5" s="1"/>
  <c r="K55" i="5"/>
  <c r="J55" i="5"/>
  <c r="I55" i="5"/>
  <c r="H55" i="5"/>
  <c r="G55" i="5"/>
  <c r="F55" i="5"/>
  <c r="E55" i="5"/>
  <c r="D55" i="5"/>
  <c r="C55" i="5"/>
  <c r="B55" i="5"/>
  <c r="K54" i="5"/>
  <c r="J54" i="5"/>
  <c r="I54" i="5"/>
  <c r="H54" i="5"/>
  <c r="G54" i="5"/>
  <c r="F54" i="5"/>
  <c r="E54" i="5"/>
  <c r="D54" i="5"/>
  <c r="C54" i="5"/>
  <c r="B54" i="5"/>
  <c r="L52" i="5"/>
  <c r="K52" i="5"/>
  <c r="J52" i="5"/>
  <c r="J90" i="5" s="1"/>
  <c r="I52" i="5"/>
  <c r="H52" i="5"/>
  <c r="H90" i="5" s="1"/>
  <c r="G52" i="5"/>
  <c r="G90" i="5" s="1"/>
  <c r="F52" i="5"/>
  <c r="E52" i="5"/>
  <c r="D52" i="5"/>
  <c r="D90" i="5" s="1"/>
  <c r="C52" i="5"/>
  <c r="C90" i="5" s="1"/>
  <c r="B52" i="5"/>
  <c r="B90" i="5" s="1"/>
  <c r="K51" i="5"/>
  <c r="J51" i="5"/>
  <c r="I51" i="5"/>
  <c r="H51" i="5"/>
  <c r="G51" i="5"/>
  <c r="F51" i="5"/>
  <c r="E51" i="5"/>
  <c r="D51" i="5"/>
  <c r="C51" i="5"/>
  <c r="B51" i="5"/>
  <c r="J50" i="5"/>
  <c r="D50" i="5"/>
  <c r="K49" i="5"/>
  <c r="K50" i="5" s="1"/>
  <c r="J49" i="5"/>
  <c r="I49" i="5"/>
  <c r="H49" i="5"/>
  <c r="I50" i="5" s="1"/>
  <c r="G49" i="5"/>
  <c r="F49" i="5"/>
  <c r="E49" i="5"/>
  <c r="E13" i="8" s="1"/>
  <c r="D49" i="5"/>
  <c r="C49" i="5"/>
  <c r="C50" i="5" s="1"/>
  <c r="B49" i="5"/>
  <c r="K48" i="5"/>
  <c r="J48" i="5"/>
  <c r="I48" i="5"/>
  <c r="H48" i="5"/>
  <c r="G48" i="5"/>
  <c r="F48" i="5"/>
  <c r="E48" i="5"/>
  <c r="D48" i="5"/>
  <c r="C48" i="5"/>
  <c r="B48" i="5"/>
  <c r="K47" i="5"/>
  <c r="J47" i="5"/>
  <c r="I47" i="5"/>
  <c r="C34" i="17" s="1"/>
  <c r="H47" i="5"/>
  <c r="G47" i="5"/>
  <c r="G9" i="8" s="1"/>
  <c r="F47" i="5"/>
  <c r="F9" i="8" s="1"/>
  <c r="E47" i="5"/>
  <c r="E9" i="8" s="1"/>
  <c r="D47" i="5"/>
  <c r="D9" i="8" s="1"/>
  <c r="C47" i="5"/>
  <c r="C9" i="8" s="1"/>
  <c r="B47" i="5"/>
  <c r="B9" i="8" s="1"/>
  <c r="K46" i="5"/>
  <c r="J46" i="5"/>
  <c r="I46" i="5"/>
  <c r="H46" i="5"/>
  <c r="G46" i="5"/>
  <c r="F46" i="5"/>
  <c r="E46" i="5"/>
  <c r="D46" i="5"/>
  <c r="C46" i="5"/>
  <c r="B46" i="5"/>
  <c r="K45" i="5"/>
  <c r="J45" i="5"/>
  <c r="I45" i="5"/>
  <c r="H45" i="5"/>
  <c r="G45" i="5"/>
  <c r="F45" i="5"/>
  <c r="E45" i="5"/>
  <c r="D45" i="5"/>
  <c r="C45" i="5"/>
  <c r="B45" i="5"/>
  <c r="K36" i="5"/>
  <c r="J36" i="5"/>
  <c r="I36" i="5"/>
  <c r="H36" i="5"/>
  <c r="G36" i="5"/>
  <c r="F36" i="5"/>
  <c r="E36" i="5"/>
  <c r="D36" i="5"/>
  <c r="C36" i="5"/>
  <c r="B36" i="5"/>
  <c r="K35" i="5"/>
  <c r="J35" i="5"/>
  <c r="I35" i="5"/>
  <c r="H35" i="5"/>
  <c r="G35" i="5"/>
  <c r="F35" i="5"/>
  <c r="E35" i="5"/>
  <c r="D35" i="5"/>
  <c r="C35" i="5"/>
  <c r="K32" i="5"/>
  <c r="J32" i="5"/>
  <c r="I32" i="5"/>
  <c r="H32" i="5"/>
  <c r="G32" i="5"/>
  <c r="F32" i="5"/>
  <c r="E32" i="5"/>
  <c r="D32" i="5"/>
  <c r="Q32" i="5" s="1"/>
  <c r="L31" i="5" s="1"/>
  <c r="M31" i="5" s="1"/>
  <c r="N31" i="5" s="1"/>
  <c r="O31" i="5" s="1"/>
  <c r="P31" i="5" s="1"/>
  <c r="C32" i="5"/>
  <c r="K30" i="5"/>
  <c r="J30" i="5"/>
  <c r="I30" i="5"/>
  <c r="H30" i="5"/>
  <c r="G30" i="5"/>
  <c r="F30" i="5"/>
  <c r="E30" i="5"/>
  <c r="D30" i="5"/>
  <c r="C30" i="5"/>
  <c r="B30" i="5"/>
  <c r="K29" i="5"/>
  <c r="J29" i="5"/>
  <c r="I29" i="5"/>
  <c r="H29" i="5"/>
  <c r="G29" i="5"/>
  <c r="F29" i="5"/>
  <c r="E29" i="5"/>
  <c r="D29" i="5"/>
  <c r="C29" i="5"/>
  <c r="K27" i="5"/>
  <c r="J27" i="5"/>
  <c r="J26" i="6" s="1"/>
  <c r="I27" i="5"/>
  <c r="I26" i="6" s="1"/>
  <c r="H27" i="5"/>
  <c r="G27" i="5"/>
  <c r="F27" i="5"/>
  <c r="E27" i="5"/>
  <c r="D27" i="5"/>
  <c r="C27" i="5"/>
  <c r="C16" i="11" s="1"/>
  <c r="B27" i="5"/>
  <c r="K24" i="5"/>
  <c r="J24" i="5"/>
  <c r="I24" i="5"/>
  <c r="H24" i="5"/>
  <c r="G24" i="5"/>
  <c r="F24" i="5"/>
  <c r="E24" i="5"/>
  <c r="D24" i="5"/>
  <c r="C24" i="5"/>
  <c r="K22" i="5"/>
  <c r="J22" i="5"/>
  <c r="I22" i="5"/>
  <c r="H22" i="5"/>
  <c r="G22" i="5"/>
  <c r="F22" i="5"/>
  <c r="E22" i="5"/>
  <c r="D22" i="5"/>
  <c r="C22" i="5"/>
  <c r="K20" i="5"/>
  <c r="J20" i="5"/>
  <c r="I20" i="5"/>
  <c r="H20" i="5"/>
  <c r="G20" i="5"/>
  <c r="F20" i="5"/>
  <c r="E20" i="5"/>
  <c r="D20" i="5"/>
  <c r="C20" i="5"/>
  <c r="J16" i="5"/>
  <c r="D16" i="5"/>
  <c r="K15" i="5"/>
  <c r="K16" i="5" s="1"/>
  <c r="J15" i="5"/>
  <c r="I15" i="5"/>
  <c r="H15" i="5"/>
  <c r="G15" i="5"/>
  <c r="F15" i="5"/>
  <c r="E15" i="5"/>
  <c r="D15" i="5"/>
  <c r="D16" i="8" s="1"/>
  <c r="C15" i="5"/>
  <c r="C16" i="5" s="1"/>
  <c r="B15" i="5"/>
  <c r="B16" i="8" s="1"/>
  <c r="J8" i="5"/>
  <c r="J17" i="5" s="1"/>
  <c r="I8" i="5"/>
  <c r="I17" i="5" s="1"/>
  <c r="H8" i="5"/>
  <c r="H17" i="5" s="1"/>
  <c r="G8" i="5"/>
  <c r="F8" i="5"/>
  <c r="B8" i="5"/>
  <c r="B17" i="5" s="1"/>
  <c r="B14" i="8" s="1"/>
  <c r="K7" i="5"/>
  <c r="J7" i="5"/>
  <c r="I7" i="5"/>
  <c r="H7" i="5"/>
  <c r="G7" i="5"/>
  <c r="F7" i="5"/>
  <c r="E7" i="5"/>
  <c r="D7" i="5"/>
  <c r="C7" i="5"/>
  <c r="C19" i="8" s="1"/>
  <c r="B7" i="5"/>
  <c r="F15" i="14"/>
  <c r="C11" i="14"/>
  <c r="F10" i="14"/>
  <c r="F11" i="14" s="1"/>
  <c r="C10" i="14"/>
  <c r="B4" i="16" s="1"/>
  <c r="F9" i="14"/>
  <c r="C7" i="14"/>
  <c r="F5" i="14"/>
  <c r="F4" i="14"/>
  <c r="C4" i="14"/>
  <c r="C6" i="14" s="1"/>
  <c r="F6" i="14" s="1"/>
  <c r="F3" i="14"/>
  <c r="F17" i="5" l="1"/>
  <c r="G9" i="5"/>
  <c r="G17" i="5"/>
  <c r="H9" i="5"/>
  <c r="F16" i="8"/>
  <c r="F16" i="5"/>
  <c r="G18" i="8"/>
  <c r="G83" i="5"/>
  <c r="G84" i="5"/>
  <c r="G85" i="5" s="1"/>
  <c r="G16" i="8"/>
  <c r="G16" i="5"/>
  <c r="Q20" i="5"/>
  <c r="L19" i="5" s="1"/>
  <c r="D34" i="17"/>
  <c r="J9" i="8"/>
  <c r="P72" i="5"/>
  <c r="L70" i="5" s="1"/>
  <c r="C35" i="17"/>
  <c r="I11" i="8"/>
  <c r="I7" i="8"/>
  <c r="I14" i="8"/>
  <c r="B5" i="12"/>
  <c r="C5" i="12" s="1"/>
  <c r="I18" i="5"/>
  <c r="F81" i="5"/>
  <c r="G62" i="5"/>
  <c r="F62" i="5"/>
  <c r="F16" i="11"/>
  <c r="F15" i="11" s="1"/>
  <c r="F26" i="6"/>
  <c r="F50" i="5"/>
  <c r="F13" i="8"/>
  <c r="G25" i="6"/>
  <c r="G29" i="6" s="1"/>
  <c r="C22" i="17"/>
  <c r="B7" i="17"/>
  <c r="D10" i="8"/>
  <c r="E10" i="12"/>
  <c r="D79" i="5"/>
  <c r="D19" i="8"/>
  <c r="D8" i="8"/>
  <c r="D6" i="8"/>
  <c r="D8" i="5"/>
  <c r="D17" i="8"/>
  <c r="Q29" i="5"/>
  <c r="L28" i="5" s="1"/>
  <c r="G13" i="8"/>
  <c r="G50" i="5"/>
  <c r="B23" i="17"/>
  <c r="H22" i="6"/>
  <c r="F17" i="14"/>
  <c r="E19" i="8"/>
  <c r="E8" i="8"/>
  <c r="E6" i="8"/>
  <c r="E8" i="5"/>
  <c r="E17" i="8"/>
  <c r="Q24" i="5"/>
  <c r="L23" i="5" s="1"/>
  <c r="G57" i="5"/>
  <c r="P57" i="5" s="1"/>
  <c r="J82" i="5"/>
  <c r="B4" i="8"/>
  <c r="B84" i="5"/>
  <c r="B3" i="8"/>
  <c r="J3" i="8"/>
  <c r="J67" i="5"/>
  <c r="J4" i="8"/>
  <c r="J84" i="5"/>
  <c r="J85" i="5" s="1"/>
  <c r="K15" i="6"/>
  <c r="K19" i="6" s="1"/>
  <c r="E12" i="17" s="1"/>
  <c r="G26" i="17"/>
  <c r="E16" i="11"/>
  <c r="E15" i="11" s="1"/>
  <c r="E26" i="6"/>
  <c r="K9" i="8"/>
  <c r="E34" i="17"/>
  <c r="F16" i="14"/>
  <c r="F20" i="14" s="1"/>
  <c r="L78" i="6"/>
  <c r="M78" i="5"/>
  <c r="C82" i="5"/>
  <c r="D15" i="6"/>
  <c r="D19" i="6" s="1"/>
  <c r="D22" i="6" s="1"/>
  <c r="D25" i="6" s="1"/>
  <c r="D29" i="6" s="1"/>
  <c r="C85" i="5"/>
  <c r="K4" i="8"/>
  <c r="K84" i="5"/>
  <c r="K67" i="5"/>
  <c r="K3" i="8"/>
  <c r="H18" i="8"/>
  <c r="B30" i="17"/>
  <c r="E79" i="5"/>
  <c r="E10" i="8"/>
  <c r="H83" i="5"/>
  <c r="H26" i="17"/>
  <c r="F65" i="6"/>
  <c r="F6" i="8"/>
  <c r="F17" i="8"/>
  <c r="B35" i="17"/>
  <c r="B6" i="12"/>
  <c r="C6" i="12" s="1"/>
  <c r="H14" i="8"/>
  <c r="H7" i="8"/>
  <c r="H11" i="8"/>
  <c r="H16" i="8"/>
  <c r="B29" i="17"/>
  <c r="G16" i="11"/>
  <c r="G15" i="11" s="1"/>
  <c r="G26" i="6"/>
  <c r="K82" i="5"/>
  <c r="I18" i="8"/>
  <c r="C30" i="17"/>
  <c r="E8" i="12"/>
  <c r="F10" i="8"/>
  <c r="I83" i="5"/>
  <c r="B18" i="17"/>
  <c r="E87" i="6"/>
  <c r="C3" i="8"/>
  <c r="E4" i="8"/>
  <c r="E84" i="5"/>
  <c r="E3" i="8"/>
  <c r="C67" i="5"/>
  <c r="D30" i="17"/>
  <c r="J18" i="8"/>
  <c r="J83" i="5"/>
  <c r="E7" i="12"/>
  <c r="G10" i="8"/>
  <c r="H79" i="5"/>
  <c r="G79" i="5"/>
  <c r="K83" i="5"/>
  <c r="D24" i="17"/>
  <c r="B26" i="17"/>
  <c r="J26" i="17"/>
  <c r="F87" i="6"/>
  <c r="C4" i="8"/>
  <c r="E9" i="12"/>
  <c r="D22" i="17"/>
  <c r="H72" i="5"/>
  <c r="H17" i="8"/>
  <c r="H19" i="8"/>
  <c r="H8" i="8"/>
  <c r="H6" i="8"/>
  <c r="J14" i="8"/>
  <c r="D35" i="17"/>
  <c r="B4" i="12"/>
  <c r="C4" i="12" s="1"/>
  <c r="J11" i="8"/>
  <c r="J18" i="5"/>
  <c r="D29" i="17"/>
  <c r="J16" i="8"/>
  <c r="B13" i="8"/>
  <c r="J13" i="8"/>
  <c r="E82" i="5"/>
  <c r="D67" i="5"/>
  <c r="E33" i="17"/>
  <c r="K72" i="5"/>
  <c r="F79" i="5"/>
  <c r="E24" i="17"/>
  <c r="I14" i="6"/>
  <c r="I15" i="6" s="1"/>
  <c r="I19" i="6" s="1"/>
  <c r="E65" i="6"/>
  <c r="F7" i="7"/>
  <c r="P7" i="7" s="1"/>
  <c r="H13" i="8"/>
  <c r="K57" i="5"/>
  <c r="C62" i="5"/>
  <c r="C81" i="5"/>
  <c r="E67" i="5"/>
  <c r="D18" i="8"/>
  <c r="E83" i="5"/>
  <c r="H84" i="5"/>
  <c r="B14" i="6"/>
  <c r="D19" i="16"/>
  <c r="C19" i="16"/>
  <c r="E19" i="16"/>
  <c r="B19" i="16"/>
  <c r="F19" i="16"/>
  <c r="B12" i="12"/>
  <c r="C12" i="12" s="1"/>
  <c r="B11" i="8"/>
  <c r="B7" i="8"/>
  <c r="I9" i="5"/>
  <c r="H16" i="5"/>
  <c r="C6" i="15"/>
  <c r="C7" i="15" s="1"/>
  <c r="F12" i="14"/>
  <c r="F13" i="14" s="1"/>
  <c r="H9" i="8"/>
  <c r="B34" i="17"/>
  <c r="D13" i="8"/>
  <c r="H50" i="5"/>
  <c r="L56" i="6"/>
  <c r="L90" i="5"/>
  <c r="H62" i="5"/>
  <c r="F67" i="5"/>
  <c r="I84" i="5"/>
  <c r="K14" i="6"/>
  <c r="C65" i="6"/>
  <c r="F19" i="8"/>
  <c r="C15" i="11"/>
  <c r="K15" i="11"/>
  <c r="G8" i="8"/>
  <c r="G6" i="8"/>
  <c r="G17" i="8"/>
  <c r="G19" i="8"/>
  <c r="I17" i="8"/>
  <c r="C31" i="17"/>
  <c r="I19" i="8"/>
  <c r="I8" i="8"/>
  <c r="C6" i="8"/>
  <c r="C8" i="8"/>
  <c r="C8" i="5"/>
  <c r="K6" i="8"/>
  <c r="K8" i="8"/>
  <c r="K19" i="8"/>
  <c r="E31" i="17"/>
  <c r="K8" i="5"/>
  <c r="J9" i="5"/>
  <c r="E16" i="5"/>
  <c r="I16" i="5"/>
  <c r="Q22" i="5"/>
  <c r="L21" i="5" s="1"/>
  <c r="D16" i="11"/>
  <c r="D26" i="6"/>
  <c r="Q27" i="5"/>
  <c r="E50" i="5"/>
  <c r="P50" i="5" s="1"/>
  <c r="M52" i="5"/>
  <c r="E81" i="5"/>
  <c r="I3" i="8"/>
  <c r="I67" i="5"/>
  <c r="C83" i="5"/>
  <c r="F26" i="17"/>
  <c r="B22" i="17"/>
  <c r="I6" i="8"/>
  <c r="E16" i="8"/>
  <c r="I16" i="11"/>
  <c r="I15" i="11" s="1"/>
  <c r="C8" i="14"/>
  <c r="B17" i="8"/>
  <c r="B6" i="8"/>
  <c r="D31" i="17"/>
  <c r="J8" i="8"/>
  <c r="J19" i="8"/>
  <c r="I16" i="8"/>
  <c r="C29" i="17"/>
  <c r="H16" i="11"/>
  <c r="H15" i="11" s="1"/>
  <c r="H26" i="6"/>
  <c r="I13" i="8"/>
  <c r="F90" i="5"/>
  <c r="G81" i="5"/>
  <c r="F82" i="5"/>
  <c r="D84" i="5"/>
  <c r="D85" i="5" s="1"/>
  <c r="D3" i="8"/>
  <c r="I26" i="17"/>
  <c r="E22" i="17"/>
  <c r="D65" i="6"/>
  <c r="J17" i="8"/>
  <c r="D15" i="11"/>
  <c r="C16" i="8"/>
  <c r="K16" i="8"/>
  <c r="E29" i="17"/>
  <c r="B26" i="6"/>
  <c r="B16" i="11"/>
  <c r="C13" i="8"/>
  <c r="B11" i="16"/>
  <c r="N16" i="16" s="1"/>
  <c r="K13" i="8"/>
  <c r="I81" i="5"/>
  <c r="H82" i="5"/>
  <c r="F4" i="8"/>
  <c r="F3" i="8"/>
  <c r="I72" i="5"/>
  <c r="J6" i="8"/>
  <c r="G3" i="8"/>
  <c r="G4" i="8"/>
  <c r="F18" i="8"/>
  <c r="F83" i="5"/>
  <c r="D33" i="17"/>
  <c r="F84" i="5"/>
  <c r="F85" i="5" s="1"/>
  <c r="B15" i="6"/>
  <c r="B19" i="6" s="1"/>
  <c r="B22" i="6" s="1"/>
  <c r="B25" i="6" s="1"/>
  <c r="B29" i="6" s="1"/>
  <c r="J15" i="6"/>
  <c r="J19" i="6" s="1"/>
  <c r="G109" i="6"/>
  <c r="K18" i="8"/>
  <c r="C79" i="5"/>
  <c r="C26" i="17"/>
  <c r="B65" i="6"/>
  <c r="J65" i="6"/>
  <c r="C32" i="17"/>
  <c r="D87" i="6"/>
  <c r="E4" i="12"/>
  <c r="J10" i="8"/>
  <c r="B12" i="17"/>
  <c r="D32" i="17"/>
  <c r="H4" i="8"/>
  <c r="H3" i="8"/>
  <c r="C10" i="8"/>
  <c r="E11" i="12"/>
  <c r="C24" i="17"/>
  <c r="E32" i="17"/>
  <c r="E12" i="12"/>
  <c r="B24" i="17"/>
  <c r="F109" i="6"/>
  <c r="G25" i="13"/>
  <c r="H25" i="13" s="1"/>
  <c r="I25" i="13" s="1"/>
  <c r="F31" i="13" s="1"/>
  <c r="B32" i="17"/>
  <c r="C23" i="17" l="1"/>
  <c r="D7" i="17"/>
  <c r="I22" i="6"/>
  <c r="C12" i="17"/>
  <c r="C7" i="17"/>
  <c r="L46" i="6"/>
  <c r="M70" i="5"/>
  <c r="G7" i="8"/>
  <c r="G11" i="8"/>
  <c r="B7" i="12"/>
  <c r="C7" i="12" s="1"/>
  <c r="G14" i="8"/>
  <c r="H18" i="5"/>
  <c r="G18" i="5"/>
  <c r="P67" i="5"/>
  <c r="B13" i="17"/>
  <c r="C6" i="17"/>
  <c r="H25" i="6"/>
  <c r="H29" i="6" s="1"/>
  <c r="B14" i="17"/>
  <c r="C4" i="15"/>
  <c r="C13" i="14"/>
  <c r="P62" i="5"/>
  <c r="L7" i="7"/>
  <c r="B8" i="17"/>
  <c r="D23" i="17"/>
  <c r="E7" i="17"/>
  <c r="J22" i="6"/>
  <c r="L8" i="7"/>
  <c r="L9" i="7" s="1"/>
  <c r="L21" i="6"/>
  <c r="B21" i="16" s="1"/>
  <c r="M23" i="5"/>
  <c r="L85" i="6"/>
  <c r="H85" i="5"/>
  <c r="M7" i="7"/>
  <c r="E85" i="5"/>
  <c r="E9" i="5"/>
  <c r="E17" i="5"/>
  <c r="C12" i="14"/>
  <c r="B6" i="17"/>
  <c r="F9" i="5"/>
  <c r="F19" i="14"/>
  <c r="F18" i="14"/>
  <c r="L25" i="5"/>
  <c r="M21" i="5"/>
  <c r="N7" i="7"/>
  <c r="M78" i="6"/>
  <c r="N78" i="5"/>
  <c r="L101" i="6"/>
  <c r="L103" i="6" s="1"/>
  <c r="L24" i="6"/>
  <c r="L86" i="6"/>
  <c r="M19" i="5"/>
  <c r="B8" i="12"/>
  <c r="C8" i="12" s="1"/>
  <c r="F7" i="8"/>
  <c r="F14" i="8"/>
  <c r="F11" i="8"/>
  <c r="F18" i="5"/>
  <c r="K9" i="5"/>
  <c r="K17" i="5"/>
  <c r="P79" i="5"/>
  <c r="C17" i="5"/>
  <c r="C9" i="5"/>
  <c r="Q9" i="5" s="1"/>
  <c r="L5" i="5" s="1"/>
  <c r="I85" i="5"/>
  <c r="O7" i="7"/>
  <c r="L109" i="6"/>
  <c r="L28" i="6"/>
  <c r="M28" i="5"/>
  <c r="M90" i="5"/>
  <c r="M56" i="6"/>
  <c r="N52" i="5"/>
  <c r="E23" i="17"/>
  <c r="K22" i="6"/>
  <c r="D9" i="5"/>
  <c r="D17" i="5"/>
  <c r="L49" i="5"/>
  <c r="M49" i="5" s="1"/>
  <c r="N49" i="5" s="1"/>
  <c r="O49" i="5" s="1"/>
  <c r="P49" i="5" s="1"/>
  <c r="L46" i="5" s="1"/>
  <c r="L48" i="5"/>
  <c r="F32" i="13"/>
  <c r="G31" i="13"/>
  <c r="L71" i="5"/>
  <c r="L69" i="5"/>
  <c r="C4" i="11"/>
  <c r="B15" i="11"/>
  <c r="Q16" i="5"/>
  <c r="D12" i="17"/>
  <c r="K85" i="5"/>
  <c r="C9" i="14"/>
  <c r="L43" i="6" l="1"/>
  <c r="M48" i="5"/>
  <c r="B11" i="12"/>
  <c r="C11" i="12" s="1"/>
  <c r="C11" i="8"/>
  <c r="C14" i="8"/>
  <c r="C7" i="8"/>
  <c r="C18" i="5"/>
  <c r="M109" i="6"/>
  <c r="M21" i="6"/>
  <c r="C21" i="16" s="1"/>
  <c r="M85" i="6"/>
  <c r="N23" i="5"/>
  <c r="M8" i="7"/>
  <c r="L61" i="5"/>
  <c r="L59" i="5"/>
  <c r="L58" i="5"/>
  <c r="L12" i="5"/>
  <c r="L10" i="5"/>
  <c r="L13" i="5"/>
  <c r="L11" i="5"/>
  <c r="L15" i="5"/>
  <c r="L14" i="5"/>
  <c r="M14" i="5" s="1"/>
  <c r="N14" i="5" s="1"/>
  <c r="O14" i="5" s="1"/>
  <c r="P14" i="5" s="1"/>
  <c r="M69" i="5"/>
  <c r="L50" i="6"/>
  <c r="E13" i="17"/>
  <c r="K25" i="6"/>
  <c r="K29" i="6" s="1"/>
  <c r="E18" i="17"/>
  <c r="E14" i="17"/>
  <c r="L76" i="5"/>
  <c r="M76" i="5" s="1"/>
  <c r="N76" i="5" s="1"/>
  <c r="O76" i="5" s="1"/>
  <c r="P76" i="5" s="1"/>
  <c r="L73" i="5"/>
  <c r="M73" i="5" s="1"/>
  <c r="N73" i="5" s="1"/>
  <c r="O73" i="5" s="1"/>
  <c r="P73" i="5" s="1"/>
  <c r="L74" i="5"/>
  <c r="L75" i="5"/>
  <c r="L77" i="5"/>
  <c r="C14" i="14"/>
  <c r="L39" i="6"/>
  <c r="M46" i="5"/>
  <c r="L47" i="5"/>
  <c r="L4" i="7"/>
  <c r="L6" i="7" s="1"/>
  <c r="L7" i="6"/>
  <c r="M5" i="5"/>
  <c r="L7" i="5"/>
  <c r="L63" i="5"/>
  <c r="L64" i="5"/>
  <c r="L65" i="5"/>
  <c r="L66" i="5"/>
  <c r="F33" i="17"/>
  <c r="L54" i="6"/>
  <c r="M71" i="5"/>
  <c r="B3" i="12"/>
  <c r="E35" i="17"/>
  <c r="K11" i="8"/>
  <c r="K14" i="8"/>
  <c r="K18" i="5"/>
  <c r="K7" i="8"/>
  <c r="M101" i="6"/>
  <c r="M103" i="6" s="1"/>
  <c r="N19" i="5"/>
  <c r="M24" i="6"/>
  <c r="M86" i="6"/>
  <c r="M25" i="5"/>
  <c r="N21" i="5"/>
  <c r="E14" i="8"/>
  <c r="E7" i="8"/>
  <c r="B9" i="12"/>
  <c r="C9" i="12" s="1"/>
  <c r="E18" i="5"/>
  <c r="E11" i="8"/>
  <c r="D6" i="17"/>
  <c r="I25" i="6"/>
  <c r="I29" i="6" s="1"/>
  <c r="C13" i="17"/>
  <c r="C14" i="17"/>
  <c r="C18" i="17"/>
  <c r="M28" i="6"/>
  <c r="N28" i="5"/>
  <c r="G32" i="13"/>
  <c r="H31" i="13"/>
  <c r="L84" i="6"/>
  <c r="L87" i="6" s="1"/>
  <c r="L26" i="5"/>
  <c r="L30" i="5" s="1"/>
  <c r="L33" i="5" s="1"/>
  <c r="D13" i="17"/>
  <c r="E6" i="17"/>
  <c r="J25" i="6"/>
  <c r="J29" i="6" s="1"/>
  <c r="D18" i="17"/>
  <c r="D14" i="17"/>
  <c r="N70" i="5"/>
  <c r="M46" i="6"/>
  <c r="D7" i="8"/>
  <c r="D14" i="8"/>
  <c r="D18" i="5"/>
  <c r="D11" i="8"/>
  <c r="B10" i="12"/>
  <c r="C10" i="12" s="1"/>
  <c r="N78" i="6"/>
  <c r="O78" i="5"/>
  <c r="N90" i="5"/>
  <c r="N56" i="6"/>
  <c r="O52" i="5"/>
  <c r="L8" i="5"/>
  <c r="B25" i="17"/>
  <c r="B15" i="17"/>
  <c r="B21" i="17"/>
  <c r="C8" i="17"/>
  <c r="B16" i="17"/>
  <c r="B17" i="17"/>
  <c r="B9" i="17"/>
  <c r="L67" i="6" l="1"/>
  <c r="M61" i="5"/>
  <c r="O28" i="5"/>
  <c r="N28" i="6"/>
  <c r="L62" i="6"/>
  <c r="M77" i="5"/>
  <c r="N21" i="6"/>
  <c r="D21" i="16" s="1"/>
  <c r="N8" i="7"/>
  <c r="N85" i="6"/>
  <c r="O23" i="5"/>
  <c r="M54" i="6"/>
  <c r="N71" i="5"/>
  <c r="M4" i="7"/>
  <c r="M6" i="7" s="1"/>
  <c r="C22" i="16" s="1"/>
  <c r="M7" i="6"/>
  <c r="N5" i="5"/>
  <c r="M7" i="5"/>
  <c r="L44" i="6"/>
  <c r="M75" i="5"/>
  <c r="L18" i="6"/>
  <c r="M13" i="5"/>
  <c r="M8" i="5"/>
  <c r="L9" i="6"/>
  <c r="L15" i="6" s="1"/>
  <c r="E15" i="17"/>
  <c r="E21" i="17"/>
  <c r="E25" i="17"/>
  <c r="E17" i="17"/>
  <c r="E9" i="17"/>
  <c r="E16" i="17"/>
  <c r="O90" i="5"/>
  <c r="P52" i="5"/>
  <c r="O56" i="6"/>
  <c r="C3" i="12"/>
  <c r="B15" i="12" s="1"/>
  <c r="B14" i="12"/>
  <c r="F24" i="17"/>
  <c r="F32" i="17"/>
  <c r="L63" i="6"/>
  <c r="M74" i="5"/>
  <c r="F30" i="17"/>
  <c r="L11" i="6"/>
  <c r="L14" i="6" s="1"/>
  <c r="M10" i="5"/>
  <c r="D21" i="17"/>
  <c r="E8" i="17"/>
  <c r="D15" i="17"/>
  <c r="D25" i="17"/>
  <c r="D16" i="17"/>
  <c r="D9" i="17"/>
  <c r="D17" i="17"/>
  <c r="N24" i="6"/>
  <c r="O19" i="5"/>
  <c r="N101" i="6"/>
  <c r="N103" i="6" s="1"/>
  <c r="N86" i="6"/>
  <c r="B5" i="16"/>
  <c r="C3" i="15"/>
  <c r="C8" i="15" s="1"/>
  <c r="F22" i="14"/>
  <c r="F29" i="17"/>
  <c r="M15" i="5"/>
  <c r="N25" i="5"/>
  <c r="O21" i="5"/>
  <c r="B22" i="16"/>
  <c r="L10" i="7"/>
  <c r="M5" i="7" s="1"/>
  <c r="L17" i="6"/>
  <c r="M12" i="5"/>
  <c r="Q18" i="5"/>
  <c r="L17" i="5" s="1"/>
  <c r="L13" i="6"/>
  <c r="M11" i="5"/>
  <c r="O78" i="6"/>
  <c r="P78" i="5"/>
  <c r="P78" i="6" s="1"/>
  <c r="N46" i="6"/>
  <c r="O70" i="5"/>
  <c r="C21" i="17"/>
  <c r="D8" i="17"/>
  <c r="C15" i="17"/>
  <c r="C25" i="17"/>
  <c r="C17" i="17"/>
  <c r="C9" i="17"/>
  <c r="C16" i="17"/>
  <c r="M84" i="6"/>
  <c r="M87" i="6" s="1"/>
  <c r="M26" i="5"/>
  <c r="M30" i="5" s="1"/>
  <c r="M33" i="5" s="1"/>
  <c r="L75" i="6"/>
  <c r="M66" i="5"/>
  <c r="G33" i="17" s="1"/>
  <c r="F34" i="17"/>
  <c r="L41" i="6"/>
  <c r="L84" i="5"/>
  <c r="L85" i="5" s="1"/>
  <c r="L60" i="6"/>
  <c r="M58" i="5"/>
  <c r="M43" i="6"/>
  <c r="N48" i="5"/>
  <c r="L69" i="6"/>
  <c r="M64" i="5"/>
  <c r="L68" i="6"/>
  <c r="M63" i="5"/>
  <c r="F31" i="17"/>
  <c r="N109" i="6"/>
  <c r="H32" i="13"/>
  <c r="I31" i="13"/>
  <c r="L70" i="6"/>
  <c r="L51" i="6"/>
  <c r="M65" i="5"/>
  <c r="M39" i="6"/>
  <c r="N46" i="5"/>
  <c r="M47" i="5"/>
  <c r="M84" i="5"/>
  <c r="M50" i="6"/>
  <c r="N69" i="5"/>
  <c r="L61" i="6"/>
  <c r="M59" i="5"/>
  <c r="B16" i="12" l="1"/>
  <c r="O46" i="6"/>
  <c r="P70" i="5"/>
  <c r="P46" i="6" s="1"/>
  <c r="G24" i="17"/>
  <c r="G32" i="17"/>
  <c r="G25" i="16"/>
  <c r="B27" i="16"/>
  <c r="F25" i="16"/>
  <c r="G27" i="16"/>
  <c r="E25" i="16"/>
  <c r="D25" i="16"/>
  <c r="C25" i="16"/>
  <c r="B25" i="16"/>
  <c r="F27" i="16"/>
  <c r="E27" i="16"/>
  <c r="D27" i="16"/>
  <c r="C27" i="16"/>
  <c r="M62" i="6"/>
  <c r="N77" i="5"/>
  <c r="O25" i="5"/>
  <c r="P21" i="5"/>
  <c r="N50" i="6"/>
  <c r="O69" i="5"/>
  <c r="M68" i="6"/>
  <c r="N63" i="5"/>
  <c r="N74" i="5"/>
  <c r="M63" i="6"/>
  <c r="M85" i="5"/>
  <c r="O71" i="5"/>
  <c r="N54" i="6"/>
  <c r="O24" i="6"/>
  <c r="O101" i="6"/>
  <c r="O103" i="6" s="1"/>
  <c r="O86" i="6"/>
  <c r="P19" i="5"/>
  <c r="N75" i="5"/>
  <c r="M44" i="6"/>
  <c r="P28" i="5"/>
  <c r="P28" i="6" s="1"/>
  <c r="O28" i="6"/>
  <c r="L89" i="6"/>
  <c r="B23" i="16"/>
  <c r="F37" i="13"/>
  <c r="F38" i="13" s="1"/>
  <c r="F39" i="13" s="1"/>
  <c r="I32" i="13"/>
  <c r="F33" i="13" s="1"/>
  <c r="M69" i="6"/>
  <c r="N64" i="5"/>
  <c r="M75" i="6"/>
  <c r="N66" i="5"/>
  <c r="H33" i="17" s="1"/>
  <c r="O109" i="6"/>
  <c r="O46" i="5"/>
  <c r="N39" i="6"/>
  <c r="N47" i="5"/>
  <c r="N43" i="6"/>
  <c r="O48" i="5"/>
  <c r="N84" i="6"/>
  <c r="N87" i="6" s="1"/>
  <c r="N26" i="5"/>
  <c r="N30" i="5" s="1"/>
  <c r="N33" i="5" s="1"/>
  <c r="G29" i="17"/>
  <c r="N15" i="5"/>
  <c r="O8" i="7"/>
  <c r="O85" i="6"/>
  <c r="P23" i="5"/>
  <c r="O21" i="6"/>
  <c r="E21" i="16" s="1"/>
  <c r="M67" i="6"/>
  <c r="N61" i="5"/>
  <c r="N8" i="5"/>
  <c r="M9" i="6"/>
  <c r="P109" i="6"/>
  <c r="M18" i="6"/>
  <c r="N13" i="5"/>
  <c r="M41" i="6"/>
  <c r="G34" i="17"/>
  <c r="N11" i="5"/>
  <c r="M13" i="6"/>
  <c r="M61" i="6"/>
  <c r="N59" i="5"/>
  <c r="M70" i="6"/>
  <c r="N65" i="5"/>
  <c r="M51" i="6"/>
  <c r="M60" i="6"/>
  <c r="N58" i="5"/>
  <c r="M17" i="5"/>
  <c r="F35" i="17"/>
  <c r="G30" i="17"/>
  <c r="M11" i="6"/>
  <c r="N10" i="5"/>
  <c r="G31" i="17"/>
  <c r="L19" i="6"/>
  <c r="F22" i="17"/>
  <c r="M9" i="7"/>
  <c r="M10" i="7"/>
  <c r="N5" i="7" s="1"/>
  <c r="L65" i="6"/>
  <c r="M17" i="6"/>
  <c r="N12" i="5"/>
  <c r="P90" i="5"/>
  <c r="P56" i="6"/>
  <c r="N7" i="6"/>
  <c r="O5" i="5"/>
  <c r="N4" i="7"/>
  <c r="N6" i="7" s="1"/>
  <c r="D22" i="16" s="1"/>
  <c r="N7" i="5"/>
  <c r="O43" i="6" l="1"/>
  <c r="P48" i="5"/>
  <c r="P43" i="6" s="1"/>
  <c r="N17" i="6"/>
  <c r="O12" i="5"/>
  <c r="N62" i="6"/>
  <c r="O77" i="5"/>
  <c r="H31" i="17"/>
  <c r="H29" i="17"/>
  <c r="O15" i="5"/>
  <c r="N69" i="6"/>
  <c r="O64" i="5"/>
  <c r="O54" i="6"/>
  <c r="P71" i="5"/>
  <c r="O50" i="6"/>
  <c r="P69" i="5"/>
  <c r="N13" i="6"/>
  <c r="O11" i="5"/>
  <c r="G22" i="17"/>
  <c r="N9" i="6"/>
  <c r="O8" i="5"/>
  <c r="P46" i="5"/>
  <c r="O47" i="5"/>
  <c r="O39" i="6"/>
  <c r="O75" i="5"/>
  <c r="N44" i="6"/>
  <c r="P8" i="7"/>
  <c r="P85" i="6"/>
  <c r="P21" i="6"/>
  <c r="F21" i="16" s="1"/>
  <c r="O84" i="6"/>
  <c r="O87" i="6" s="1"/>
  <c r="O26" i="5"/>
  <c r="O30" i="5" s="1"/>
  <c r="O33" i="5" s="1"/>
  <c r="O66" i="5"/>
  <c r="N75" i="6"/>
  <c r="N60" i="6"/>
  <c r="N65" i="6" s="1"/>
  <c r="O58" i="5"/>
  <c r="H34" i="17"/>
  <c r="N41" i="6"/>
  <c r="N84" i="5"/>
  <c r="N85" i="5" s="1"/>
  <c r="O4" i="7"/>
  <c r="O6" i="7" s="1"/>
  <c r="E22" i="16" s="1"/>
  <c r="O7" i="6"/>
  <c r="P5" i="5"/>
  <c r="O7" i="5"/>
  <c r="N10" i="7"/>
  <c r="O5" i="7" s="1"/>
  <c r="N9" i="7"/>
  <c r="H30" i="17"/>
  <c r="N11" i="6"/>
  <c r="N14" i="6" s="1"/>
  <c r="O10" i="5"/>
  <c r="N70" i="6"/>
  <c r="O65" i="5"/>
  <c r="N51" i="6"/>
  <c r="O13" i="5"/>
  <c r="N18" i="6"/>
  <c r="N67" i="6"/>
  <c r="O61" i="5"/>
  <c r="P101" i="6"/>
  <c r="P103" i="6" s="1"/>
  <c r="P24" i="6"/>
  <c r="P86" i="6"/>
  <c r="C23" i="16"/>
  <c r="M89" i="6"/>
  <c r="O63" i="5"/>
  <c r="N68" i="6"/>
  <c r="N17" i="5"/>
  <c r="G35" i="17"/>
  <c r="B6" i="18"/>
  <c r="F23" i="17"/>
  <c r="L22" i="6"/>
  <c r="F7" i="17"/>
  <c r="F12" i="17"/>
  <c r="B7" i="18"/>
  <c r="M65" i="6"/>
  <c r="H24" i="17"/>
  <c r="H32" i="17"/>
  <c r="M14" i="6"/>
  <c r="M15" i="6" s="1"/>
  <c r="M19" i="6" s="1"/>
  <c r="N61" i="6"/>
  <c r="O59" i="5"/>
  <c r="O74" i="5"/>
  <c r="N63" i="6"/>
  <c r="P25" i="5"/>
  <c r="G23" i="17" l="1"/>
  <c r="M22" i="6"/>
  <c r="C6" i="18"/>
  <c r="G12" i="17"/>
  <c r="C7" i="18"/>
  <c r="G7" i="17"/>
  <c r="P30" i="5"/>
  <c r="P33" i="5" s="1"/>
  <c r="P26" i="5"/>
  <c r="P84" i="6"/>
  <c r="P87" i="6" s="1"/>
  <c r="O68" i="6"/>
  <c r="P63" i="5"/>
  <c r="P68" i="6" s="1"/>
  <c r="O67" i="6"/>
  <c r="P61" i="5"/>
  <c r="P67" i="6" s="1"/>
  <c r="D23" i="16"/>
  <c r="N89" i="6"/>
  <c r="O75" i="6"/>
  <c r="P66" i="5"/>
  <c r="P75" i="6" s="1"/>
  <c r="O44" i="6"/>
  <c r="P75" i="5"/>
  <c r="P44" i="6" s="1"/>
  <c r="O62" i="6"/>
  <c r="P77" i="5"/>
  <c r="P62" i="6" s="1"/>
  <c r="I30" i="17"/>
  <c r="O11" i="6"/>
  <c r="P10" i="5"/>
  <c r="I33" i="17"/>
  <c r="P74" i="5"/>
  <c r="P63" i="6" s="1"/>
  <c r="O63" i="6"/>
  <c r="O69" i="6"/>
  <c r="P64" i="5"/>
  <c r="P69" i="6" s="1"/>
  <c r="O17" i="6"/>
  <c r="P12" i="5"/>
  <c r="P17" i="6" s="1"/>
  <c r="I34" i="17"/>
  <c r="O41" i="6"/>
  <c r="P13" i="5"/>
  <c r="P18" i="6" s="1"/>
  <c r="O18" i="6"/>
  <c r="O10" i="7"/>
  <c r="P5" i="7" s="1"/>
  <c r="O9" i="7"/>
  <c r="H22" i="17"/>
  <c r="P47" i="5"/>
  <c r="P39" i="6"/>
  <c r="O17" i="5"/>
  <c r="H35" i="17"/>
  <c r="P54" i="6"/>
  <c r="O61" i="6"/>
  <c r="P59" i="5"/>
  <c r="P61" i="6" s="1"/>
  <c r="I31" i="17"/>
  <c r="O9" i="6"/>
  <c r="P8" i="5"/>
  <c r="P9" i="6" s="1"/>
  <c r="O84" i="5"/>
  <c r="O85" i="5" s="1"/>
  <c r="I29" i="17"/>
  <c r="P15" i="5"/>
  <c r="J29" i="17" s="1"/>
  <c r="I24" i="17"/>
  <c r="I32" i="17"/>
  <c r="B4" i="18"/>
  <c r="G6" i="17"/>
  <c r="B18" i="16"/>
  <c r="B20" i="16" s="1"/>
  <c r="B24" i="16" s="1"/>
  <c r="B28" i="16" s="1"/>
  <c r="C5" i="18"/>
  <c r="F13" i="17"/>
  <c r="L25" i="6"/>
  <c r="B5" i="18"/>
  <c r="F6" i="17"/>
  <c r="F18" i="17"/>
  <c r="F14" i="17"/>
  <c r="B12" i="18"/>
  <c r="O13" i="6"/>
  <c r="P11" i="5"/>
  <c r="P13" i="6" s="1"/>
  <c r="O70" i="6"/>
  <c r="O51" i="6"/>
  <c r="P65" i="5"/>
  <c r="P4" i="7"/>
  <c r="P6" i="7" s="1"/>
  <c r="F22" i="16" s="1"/>
  <c r="P7" i="6"/>
  <c r="P7" i="5"/>
  <c r="J31" i="17" s="1"/>
  <c r="O60" i="6"/>
  <c r="P58" i="5"/>
  <c r="P60" i="6" s="1"/>
  <c r="N15" i="6"/>
  <c r="N19" i="6" s="1"/>
  <c r="P50" i="6"/>
  <c r="P84" i="5"/>
  <c r="P85" i="5" s="1"/>
  <c r="P65" i="6" l="1"/>
  <c r="J34" i="17"/>
  <c r="P41" i="6"/>
  <c r="O65" i="6"/>
  <c r="D6" i="18"/>
  <c r="H23" i="17"/>
  <c r="N22" i="6"/>
  <c r="H12" i="17"/>
  <c r="D7" i="18"/>
  <c r="L29" i="6"/>
  <c r="L27" i="6"/>
  <c r="L95" i="6" s="1"/>
  <c r="L96" i="6" s="1"/>
  <c r="L105" i="6" s="1"/>
  <c r="L107" i="6" s="1"/>
  <c r="M106" i="6" s="1"/>
  <c r="I22" i="17"/>
  <c r="J24" i="17"/>
  <c r="J32" i="17"/>
  <c r="P9" i="7"/>
  <c r="P10" i="7"/>
  <c r="J33" i="17"/>
  <c r="J30" i="17"/>
  <c r="P11" i="6"/>
  <c r="P14" i="6" s="1"/>
  <c r="P15" i="6" s="1"/>
  <c r="P19" i="6" s="1"/>
  <c r="D5" i="18"/>
  <c r="G13" i="17"/>
  <c r="M25" i="6"/>
  <c r="C4" i="18"/>
  <c r="C18" i="16"/>
  <c r="C20" i="16" s="1"/>
  <c r="C24" i="16" s="1"/>
  <c r="C28" i="16" s="1"/>
  <c r="C12" i="18"/>
  <c r="G18" i="17"/>
  <c r="G14" i="17"/>
  <c r="F23" i="16"/>
  <c r="P89" i="6"/>
  <c r="P51" i="6"/>
  <c r="P70" i="6"/>
  <c r="E23" i="16"/>
  <c r="O89" i="6"/>
  <c r="O14" i="6"/>
  <c r="O15" i="6" s="1"/>
  <c r="O19" i="6" s="1"/>
  <c r="P17" i="5"/>
  <c r="J35" i="17" s="1"/>
  <c r="I35" i="17"/>
  <c r="H7" i="17"/>
  <c r="J23" i="17" l="1"/>
  <c r="F6" i="18"/>
  <c r="P22" i="6"/>
  <c r="J12" i="17"/>
  <c r="F7" i="18"/>
  <c r="E6" i="18"/>
  <c r="I23" i="17"/>
  <c r="J7" i="17"/>
  <c r="O22" i="6"/>
  <c r="I12" i="17"/>
  <c r="E7" i="18"/>
  <c r="I7" i="17"/>
  <c r="E5" i="18"/>
  <c r="I6" i="17"/>
  <c r="H13" i="17"/>
  <c r="D18" i="16"/>
  <c r="D20" i="16" s="1"/>
  <c r="D24" i="16" s="1"/>
  <c r="D28" i="16" s="1"/>
  <c r="D4" i="18"/>
  <c r="N25" i="6"/>
  <c r="H14" i="17"/>
  <c r="D12" i="18"/>
  <c r="H18" i="17"/>
  <c r="M29" i="6"/>
  <c r="M27" i="6"/>
  <c r="M95" i="6" s="1"/>
  <c r="M96" i="6" s="1"/>
  <c r="M105" i="6" s="1"/>
  <c r="M107" i="6" s="1"/>
  <c r="N106" i="6" s="1"/>
  <c r="F21" i="17"/>
  <c r="B8" i="18"/>
  <c r="F15" i="17"/>
  <c r="F25" i="17"/>
  <c r="B9" i="18"/>
  <c r="F9" i="17"/>
  <c r="F16" i="17"/>
  <c r="F8" i="17"/>
  <c r="B13" i="18"/>
  <c r="F17" i="17"/>
  <c r="J22" i="17"/>
  <c r="H6" i="17"/>
  <c r="N29" i="6" l="1"/>
  <c r="H8" i="17" s="1"/>
  <c r="N27" i="6"/>
  <c r="N95" i="6" s="1"/>
  <c r="N96" i="6" s="1"/>
  <c r="N105" i="6" s="1"/>
  <c r="N107" i="6" s="1"/>
  <c r="O106" i="6" s="1"/>
  <c r="J13" i="17"/>
  <c r="F4" i="18"/>
  <c r="F18" i="16"/>
  <c r="F20" i="16" s="1"/>
  <c r="F24" i="16" s="1"/>
  <c r="P25" i="6"/>
  <c r="J18" i="17"/>
  <c r="F12" i="18"/>
  <c r="J14" i="17"/>
  <c r="C8" i="18"/>
  <c r="G25" i="17"/>
  <c r="G15" i="17"/>
  <c r="G21" i="17"/>
  <c r="C9" i="18"/>
  <c r="C10" i="18" s="1"/>
  <c r="G9" i="17"/>
  <c r="G16" i="17"/>
  <c r="G17" i="17"/>
  <c r="C13" i="18"/>
  <c r="B11" i="18"/>
  <c r="B14" i="18"/>
  <c r="B15" i="18" s="1"/>
  <c r="B10" i="18"/>
  <c r="G8" i="17"/>
  <c r="I13" i="17"/>
  <c r="F5" i="18"/>
  <c r="E4" i="18"/>
  <c r="E18" i="16"/>
  <c r="E20" i="16" s="1"/>
  <c r="E24" i="16" s="1"/>
  <c r="E28" i="16" s="1"/>
  <c r="O25" i="6"/>
  <c r="J6" i="17"/>
  <c r="I18" i="17"/>
  <c r="E12" i="18"/>
  <c r="I14" i="17"/>
  <c r="D10" i="18" l="1"/>
  <c r="C11" i="18"/>
  <c r="C14" i="18"/>
  <c r="C15" i="18" s="1"/>
  <c r="P27" i="6"/>
  <c r="P95" i="6" s="1"/>
  <c r="P96" i="6" s="1"/>
  <c r="P105" i="6" s="1"/>
  <c r="P29" i="6"/>
  <c r="O27" i="6"/>
  <c r="O95" i="6" s="1"/>
  <c r="O96" i="6" s="1"/>
  <c r="O105" i="6" s="1"/>
  <c r="O107" i="6" s="1"/>
  <c r="P106" i="6" s="1"/>
  <c r="F28" i="16"/>
  <c r="N12" i="16" s="1"/>
  <c r="G24" i="16"/>
  <c r="H25" i="17"/>
  <c r="H15" i="17"/>
  <c r="H21" i="17"/>
  <c r="D8" i="18"/>
  <c r="H9" i="17"/>
  <c r="D9" i="18"/>
  <c r="H16" i="17"/>
  <c r="D13" i="18"/>
  <c r="H17" i="17"/>
  <c r="N15" i="16" l="1"/>
  <c r="N18" i="16" s="1"/>
  <c r="N20" i="16" s="1"/>
  <c r="O29" i="6"/>
  <c r="N13" i="16"/>
  <c r="G28" i="16"/>
  <c r="N14" i="16" s="1"/>
  <c r="F8" i="18"/>
  <c r="J25" i="17"/>
  <c r="J15" i="17"/>
  <c r="J21" i="17"/>
  <c r="J9" i="17"/>
  <c r="F9" i="18"/>
  <c r="J16" i="17"/>
  <c r="J17" i="17"/>
  <c r="F13" i="18"/>
  <c r="D11" i="18"/>
  <c r="D14" i="18"/>
  <c r="D15" i="18" s="1"/>
  <c r="P107" i="6"/>
  <c r="B34" i="16" l="1"/>
  <c r="B35" i="16" s="1"/>
  <c r="B33" i="16"/>
  <c r="F11" i="18"/>
  <c r="F14" i="18"/>
  <c r="F15" i="18" s="1"/>
  <c r="E8" i="18"/>
  <c r="I21" i="17"/>
  <c r="I25" i="17"/>
  <c r="J8" i="17"/>
  <c r="I15" i="17"/>
  <c r="E9" i="18"/>
  <c r="I9" i="17"/>
  <c r="I16" i="17"/>
  <c r="I17" i="17"/>
  <c r="E13" i="18"/>
  <c r="I8" i="17"/>
  <c r="E14" i="18" l="1"/>
  <c r="E15" i="18" s="1"/>
  <c r="E11" i="18"/>
  <c r="F10" i="18"/>
  <c r="E10" i="18"/>
  <c r="B37" i="16"/>
  <c r="B36" i="16"/>
</calcChain>
</file>

<file path=xl/sharedStrings.xml><?xml version="1.0" encoding="utf-8"?>
<sst xmlns="http://schemas.openxmlformats.org/spreadsheetml/2006/main" count="596" uniqueCount="414">
  <si>
    <t>Finance &gt;&gt;Cash Flow (Standalone)&gt;&gt;Dabur India Ltd(Curr. Rs in )</t>
  </si>
  <si>
    <t>Year</t>
  </si>
  <si>
    <t>Cash Flow Summary</t>
  </si>
  <si>
    <t>Cash and Cash Equivalents at Beginning of the year</t>
  </si>
  <si>
    <t xml:space="preserve"> Net Cash from Operating Activities </t>
  </si>
  <si>
    <t>Net Profit before Tax &amp; Extraordinary Items</t>
  </si>
  <si>
    <t>Depreciation</t>
  </si>
  <si>
    <t>Interest (Net)</t>
  </si>
  <si>
    <t>Dividend Received</t>
  </si>
  <si>
    <t>P/L on Sales of Assets</t>
  </si>
  <si>
    <t>P/L on Sales of Invest</t>
  </si>
  <si>
    <t>Prov. &amp; W/O (Net)</t>
  </si>
  <si>
    <t>P/L in Forex</t>
  </si>
  <si>
    <t>Fin. Lease &amp; Rental Chrgs</t>
  </si>
  <si>
    <t>Others</t>
  </si>
  <si>
    <t>Total Adjustments (PBT &amp; Extraordinary Items)</t>
  </si>
  <si>
    <t>Op. Profit before Working Capital Changes</t>
  </si>
  <si>
    <t>Trade &amp; 0th receivables</t>
  </si>
  <si>
    <t>Inventories</t>
  </si>
  <si>
    <t>Trade Payables</t>
  </si>
  <si>
    <t>Total (OP before Working Capital Changes)</t>
  </si>
  <si>
    <t>Cash Generated from/(used in) Operations</t>
  </si>
  <si>
    <t>Interest Paid(Net)</t>
  </si>
  <si>
    <t>Direct Taxes Paid</t>
  </si>
  <si>
    <t>Advance Tax Paid</t>
  </si>
  <si>
    <t>Total-others</t>
  </si>
  <si>
    <t>Cash Flow before Extraordinary Items</t>
  </si>
  <si>
    <t xml:space="preserve"> Net Cash Used in Investing Activities </t>
  </si>
  <si>
    <t>Purchased of Fixed Assets</t>
  </si>
  <si>
    <t>Sale of Fixed Assets</t>
  </si>
  <si>
    <t>Capital Expenditure</t>
  </si>
  <si>
    <t>capital WIP</t>
  </si>
  <si>
    <t>Capital Subsidy Recd</t>
  </si>
  <si>
    <t>Purchase of Investments</t>
  </si>
  <si>
    <t>Sale of Investments</t>
  </si>
  <si>
    <t>Investment Income</t>
  </si>
  <si>
    <t>Interest Received</t>
  </si>
  <si>
    <t>Invest.In Subsidiaires</t>
  </si>
  <si>
    <t>Loans to Subsidiaires</t>
  </si>
  <si>
    <t>Acquisition of Companies</t>
  </si>
  <si>
    <t>Inter Corporate Deposits</t>
  </si>
  <si>
    <t xml:space="preserve"> Net Cash Used in Financing Activities </t>
  </si>
  <si>
    <t>Proceeds from Issue of shares (incl share premium)</t>
  </si>
  <si>
    <t>Proceed from Issue of Debentures</t>
  </si>
  <si>
    <t>Proceed from 0ther Long Term Borrowings</t>
  </si>
  <si>
    <t>Proceed from Bank Borrowings</t>
  </si>
  <si>
    <t>Proceed from Short Tem Borrowings</t>
  </si>
  <si>
    <t>Of the Long Tem Borrowings</t>
  </si>
  <si>
    <t>Of the short term Borrowings</t>
  </si>
  <si>
    <t>Of financial Liabilities</t>
  </si>
  <si>
    <t>Dividend Paid</t>
  </si>
  <si>
    <t>Shelter Assistance Reserve</t>
  </si>
  <si>
    <t>Interest Paid</t>
  </si>
  <si>
    <t>Net Inc/(Dec) in Cash and Cash Equivalent</t>
  </si>
  <si>
    <t>Cash and Cash Equivalents at End of the year</t>
  </si>
  <si>
    <t>Finance &gt;&gt;Balance Sheet (Standalone)&gt;&gt;Dabur India Ltd(Curr. in )</t>
  </si>
  <si>
    <t>SOURCES OF FUNDS :</t>
  </si>
  <si>
    <t xml:space="preserve"> Share Capital </t>
  </si>
  <si>
    <t xml:space="preserve"> Reserves Total </t>
  </si>
  <si>
    <t>Total Shareholders Funds</t>
  </si>
  <si>
    <t xml:space="preserve"> Secured Loans </t>
  </si>
  <si>
    <t xml:space="preserve"> Unsecured Loans </t>
  </si>
  <si>
    <t>Total Debt</t>
  </si>
  <si>
    <t xml:space="preserve"> Other Liabilities </t>
  </si>
  <si>
    <t>Total Liabilities</t>
  </si>
  <si>
    <t>APPLICATION OF FUNDS :</t>
  </si>
  <si>
    <t xml:space="preserve"> Gross Block </t>
  </si>
  <si>
    <t xml:space="preserve"> Less : Accumulated Depreciation </t>
  </si>
  <si>
    <t>Less:Impairment of Assets</t>
  </si>
  <si>
    <t xml:space="preserve"> Net Block </t>
  </si>
  <si>
    <t xml:space="preserve"> Capital Work in Progress </t>
  </si>
  <si>
    <t>Producing Properties</t>
  </si>
  <si>
    <t xml:space="preserve"> Investments </t>
  </si>
  <si>
    <t>Current Assets, Loans &amp; Advances</t>
  </si>
  <si>
    <t xml:space="preserve"> Inventories </t>
  </si>
  <si>
    <t xml:space="preserve"> Sundry Debtors </t>
  </si>
  <si>
    <t xml:space="preserve"> Cash and Bank </t>
  </si>
  <si>
    <t xml:space="preserve"> Loans and Advances </t>
  </si>
  <si>
    <t>Total Current Assets</t>
  </si>
  <si>
    <t>Less : Current Liabilities and Provisions</t>
  </si>
  <si>
    <t xml:space="preserve"> Current Liabilities </t>
  </si>
  <si>
    <t xml:space="preserve"> Provisions </t>
  </si>
  <si>
    <t>Total Current Liabilities</t>
  </si>
  <si>
    <t>Net Current Assets</t>
  </si>
  <si>
    <t>Deferred Tax Assets</t>
  </si>
  <si>
    <t>Deferred Tax Liability</t>
  </si>
  <si>
    <t>Net Deferred Tax</t>
  </si>
  <si>
    <t xml:space="preserve"> Other Assets </t>
  </si>
  <si>
    <t>Long-Term Loans and Advances</t>
  </si>
  <si>
    <t>Other Non-Current Assets</t>
  </si>
  <si>
    <t>Total Assets</t>
  </si>
  <si>
    <t xml:space="preserve"> Contingent Liabilities </t>
  </si>
  <si>
    <t>Finance &gt;&gt;Profit &amp; Loss (Standalone)&gt;&gt;Dabur India Ltd(Curr. in )</t>
  </si>
  <si>
    <t>INCOME :</t>
  </si>
  <si>
    <t xml:space="preserve"> Sales Turnover </t>
  </si>
  <si>
    <t>Net Sales</t>
  </si>
  <si>
    <t xml:space="preserve"> Other Income </t>
  </si>
  <si>
    <t xml:space="preserve"> Stock Adjustments </t>
  </si>
  <si>
    <t>Total Income</t>
  </si>
  <si>
    <t>EXPENDITURE :</t>
  </si>
  <si>
    <t xml:space="preserve"> Raw Materials </t>
  </si>
  <si>
    <t xml:space="preserve"> Power &amp; Fuel Cost </t>
  </si>
  <si>
    <t xml:space="preserve"> Employee Cost </t>
  </si>
  <si>
    <t xml:space="preserve"> Other Manufacturing Expenses </t>
  </si>
  <si>
    <t xml:space="preserve"> Selling and Administration Expenses </t>
  </si>
  <si>
    <t xml:space="preserve"> Miscellaneous Expenses </t>
  </si>
  <si>
    <t>Total Expenditure</t>
  </si>
  <si>
    <t>Operating Profit</t>
  </si>
  <si>
    <t xml:space="preserve"> Interest </t>
  </si>
  <si>
    <t>Gross Profit</t>
  </si>
  <si>
    <t xml:space="preserve"> Depreciation </t>
  </si>
  <si>
    <t>Profit Before Tax</t>
  </si>
  <si>
    <t xml:space="preserve"> Tax </t>
  </si>
  <si>
    <t xml:space="preserve"> Deferred Tax </t>
  </si>
  <si>
    <t>Reported Net Profit</t>
  </si>
  <si>
    <t xml:space="preserve"> Extraordinary Items </t>
  </si>
  <si>
    <t>Adjusted Net Profit</t>
  </si>
  <si>
    <t xml:space="preserve"> Adjst. below Net Profit </t>
  </si>
  <si>
    <t>P &amp; L Balance brought forward</t>
  </si>
  <si>
    <t xml:space="preserve"> Appropriations </t>
  </si>
  <si>
    <t>P &amp; L Balance carried down</t>
  </si>
  <si>
    <t>Dividend</t>
  </si>
  <si>
    <t>Equity Dividend %</t>
  </si>
  <si>
    <t>Dividend Per Share(Rs)</t>
  </si>
  <si>
    <t>Earnings Per Share-Unit Curr</t>
  </si>
  <si>
    <t>Earnings Per Share(Adj)-Unit Curr</t>
  </si>
  <si>
    <t>Book Value-Unit Curr</t>
  </si>
  <si>
    <t>Book Value(Adj)-Unit Curr</t>
  </si>
  <si>
    <t>Dividend Per Share Adj.(Rs)</t>
  </si>
  <si>
    <t>Actual Financial Statement data for last 5 years</t>
  </si>
  <si>
    <t>Revenue Growth</t>
  </si>
  <si>
    <t>As mentioned in Annual Report 2025</t>
  </si>
  <si>
    <t>chrome-extension://efaidnbmnnnibpcajpcglclefindmkaj/https://www.dabur.com/Investors/Financial%20Information/Reports/Annual%20Reports/2024-25/Dabur%20India%20Limited%20Annual%20Report%202024-25.pdf?utm_</t>
  </si>
  <si>
    <t>Tax Rate</t>
  </si>
  <si>
    <t>Data period used for Stock and Market Index Price</t>
  </si>
  <si>
    <t>Risk Free Rate</t>
  </si>
  <si>
    <t>Market Risk Premium</t>
  </si>
  <si>
    <t>Perpetuity Growth Rate for Terminal Value</t>
  </si>
  <si>
    <t>Basis for selection of peer companies</t>
  </si>
  <si>
    <t>Sensitivity Analysis</t>
  </si>
  <si>
    <t>Peer Comparison</t>
  </si>
  <si>
    <t xml:space="preserve">Forecasted Income Statement </t>
  </si>
  <si>
    <t>YOY</t>
  </si>
  <si>
    <t>Average</t>
  </si>
  <si>
    <t>..0320</t>
  </si>
  <si>
    <t>Tax rate</t>
  </si>
  <si>
    <t>RE</t>
  </si>
  <si>
    <t>Adjust profit</t>
  </si>
  <si>
    <t xml:space="preserve">NI + Current Year R&amp;D exp- amortization of r and D </t>
  </si>
  <si>
    <t>Balance Sheet</t>
  </si>
  <si>
    <t>Average inventory</t>
  </si>
  <si>
    <t>Average Trade Receivables</t>
  </si>
  <si>
    <t>Average Trade Payables</t>
  </si>
  <si>
    <t>WORKING CAPITA</t>
  </si>
  <si>
    <t>CHANGE IN WORKING CAPITAL</t>
  </si>
  <si>
    <t>total lib- total Assets(balanced)</t>
  </si>
  <si>
    <t>FINANCIAL STATEMENTS OF TATA STEEL LTD</t>
  </si>
  <si>
    <t xml:space="preserve"> ACTUAL PERIOD</t>
  </si>
  <si>
    <t>FORECASTED PERIOD</t>
  </si>
  <si>
    <t>Number of Days</t>
  </si>
  <si>
    <t>Profit and Loss Statement</t>
  </si>
  <si>
    <t>Particulars</t>
  </si>
  <si>
    <t>Revenue from Operations</t>
  </si>
  <si>
    <t>Other revenues</t>
  </si>
  <si>
    <t>Revenue</t>
  </si>
  <si>
    <t>Cost of Material Consumed</t>
  </si>
  <si>
    <t>Purchase Of Stock-In Trade</t>
  </si>
  <si>
    <t>Changes In Inventories Of FG,WIP And Stock-In Trade</t>
  </si>
  <si>
    <t>Cost of Goods sold</t>
  </si>
  <si>
    <t>Gross Margin</t>
  </si>
  <si>
    <t>Employee Benefit Expenses</t>
  </si>
  <si>
    <t>Other Expenses</t>
  </si>
  <si>
    <t>EBITDA</t>
  </si>
  <si>
    <t>Depreciation And Amortisation Expenses</t>
  </si>
  <si>
    <t>EBIT</t>
  </si>
  <si>
    <t>Finance Cost</t>
  </si>
  <si>
    <t>EBT</t>
  </si>
  <si>
    <t>Current Tax</t>
  </si>
  <si>
    <t>Deferred Tax</t>
  </si>
  <si>
    <t>Net Income</t>
  </si>
  <si>
    <t>EPS</t>
  </si>
  <si>
    <t>Rate of Dividend</t>
  </si>
  <si>
    <t xml:space="preserve">INR in Cr. </t>
  </si>
  <si>
    <t>Share Capital</t>
  </si>
  <si>
    <t>Reserves</t>
  </si>
  <si>
    <t>Employee Stock Options</t>
  </si>
  <si>
    <t>Total Equity</t>
  </si>
  <si>
    <t xml:space="preserve"> </t>
  </si>
  <si>
    <t>Long Term Borrowings</t>
  </si>
  <si>
    <t>Deferred Tax Liabilities [Net]</t>
  </si>
  <si>
    <t>Other Non-current Liabilities</t>
  </si>
  <si>
    <t>Long Term Provisions</t>
  </si>
  <si>
    <t>Total Non-Current Liabilities</t>
  </si>
  <si>
    <t>Short Term Borrowings</t>
  </si>
  <si>
    <t>Trade payable</t>
  </si>
  <si>
    <t>Other short term financial liabilities</t>
  </si>
  <si>
    <t>Other current liabilities</t>
  </si>
  <si>
    <t>Short Term Provisions</t>
  </si>
  <si>
    <t>Total Liabilities &amp; Equity</t>
  </si>
  <si>
    <t>Propert, Plant &amp; Equipment</t>
  </si>
  <si>
    <t>Intangible Assets</t>
  </si>
  <si>
    <t>Capital Work-In-Progress</t>
  </si>
  <si>
    <t>Non-Current Investments</t>
  </si>
  <si>
    <t>Financial Assets</t>
  </si>
  <si>
    <t>Non-Current Tax Assets</t>
  </si>
  <si>
    <t>Other non-current assets</t>
  </si>
  <si>
    <t>Total Non-Current Assets</t>
  </si>
  <si>
    <t>Inventory</t>
  </si>
  <si>
    <t>Trade receivable</t>
  </si>
  <si>
    <t>Cash And Cash Equivalents</t>
  </si>
  <si>
    <t>Short Term Loans And Advances</t>
  </si>
  <si>
    <t>Other Short Term Financial Assets</t>
  </si>
  <si>
    <t>Current Tax Asset</t>
  </si>
  <si>
    <t>Assets held for sale</t>
  </si>
  <si>
    <t>Other Current Assets</t>
  </si>
  <si>
    <t>Cash Flow Statement</t>
  </si>
  <si>
    <t>Profit before tax</t>
  </si>
  <si>
    <t>Add: Depreciation</t>
  </si>
  <si>
    <t>Add: Finance Cost</t>
  </si>
  <si>
    <t>Cash Flow before Working Capital Changes</t>
  </si>
  <si>
    <t>Changes in working capital</t>
  </si>
  <si>
    <t>Trade Receivable</t>
  </si>
  <si>
    <t>Other current assets</t>
  </si>
  <si>
    <t>Net Changes in working capital</t>
  </si>
  <si>
    <t>Tax paid</t>
  </si>
  <si>
    <t>Net cash flow from opreating</t>
  </si>
  <si>
    <t>Capex</t>
  </si>
  <si>
    <t>Net cash flow from investing acticituies</t>
  </si>
  <si>
    <t>Finace cost</t>
  </si>
  <si>
    <t>Net cash flow from financing activities</t>
  </si>
  <si>
    <t>Net changes in cash</t>
  </si>
  <si>
    <t>Add opening cash</t>
  </si>
  <si>
    <t>Cash at the end</t>
  </si>
  <si>
    <t>Check</t>
  </si>
  <si>
    <t>PPE SCHEDULE</t>
  </si>
  <si>
    <t>Revenues</t>
  </si>
  <si>
    <t>Opening PP&amp;E</t>
  </si>
  <si>
    <t>(% of revenues)</t>
  </si>
  <si>
    <t>(Depreceiation Rate %)</t>
  </si>
  <si>
    <t>Ending PP&amp;E</t>
  </si>
  <si>
    <t>RATIO</t>
  </si>
  <si>
    <t>Liquidity Ratios</t>
  </si>
  <si>
    <t>Current Ratio</t>
  </si>
  <si>
    <t>Quick Ratio</t>
  </si>
  <si>
    <t>Profitability Ratios</t>
  </si>
  <si>
    <t>Operating Margin</t>
  </si>
  <si>
    <t>Net Margin</t>
  </si>
  <si>
    <t>ROE</t>
  </si>
  <si>
    <t>ROA</t>
  </si>
  <si>
    <t>ROCE</t>
  </si>
  <si>
    <t>Leverage Ratios</t>
  </si>
  <si>
    <t>Debt-Equity</t>
  </si>
  <si>
    <t>Interest Coverage</t>
  </si>
  <si>
    <t>Efficiency Ratios</t>
  </si>
  <si>
    <t>Inventory Turnover</t>
  </si>
  <si>
    <t>Receivable Turnover</t>
  </si>
  <si>
    <t>Payable Turnover</t>
  </si>
  <si>
    <t>Asset Turnover</t>
  </si>
  <si>
    <t>Dividend Payout</t>
  </si>
  <si>
    <t>Date</t>
  </si>
  <si>
    <t>Sensex</t>
  </si>
  <si>
    <t>Dabour</t>
  </si>
  <si>
    <t>Market Return</t>
  </si>
  <si>
    <t>Return on dabour</t>
  </si>
  <si>
    <t>Beta</t>
  </si>
  <si>
    <t>Anticipated period</t>
  </si>
  <si>
    <t>Adjusted period</t>
  </si>
  <si>
    <t>Average Return</t>
  </si>
  <si>
    <t>Alpha</t>
  </si>
  <si>
    <t>Debt to capital</t>
  </si>
  <si>
    <t>Debt to equity</t>
  </si>
  <si>
    <t xml:space="preserve">Levered Beta </t>
  </si>
  <si>
    <t>Unlev beta *(1+debt to equity % *(1-tax rate)))</t>
  </si>
  <si>
    <t>Years</t>
  </si>
  <si>
    <t>DEBT to Equity</t>
  </si>
  <si>
    <t>Unlevered Beta</t>
  </si>
  <si>
    <t>Unle beta x(1+debt to equity*(1-tax rate))</t>
  </si>
  <si>
    <t xml:space="preserve">Tax rate </t>
  </si>
  <si>
    <t>ROCE%</t>
  </si>
  <si>
    <t>Dabour India</t>
  </si>
  <si>
    <t>Dabur ROA</t>
  </si>
  <si>
    <t>H model</t>
  </si>
  <si>
    <t>R</t>
  </si>
  <si>
    <t>Phase 1</t>
  </si>
  <si>
    <t>Gh</t>
  </si>
  <si>
    <t>P2</t>
  </si>
  <si>
    <t>Gs</t>
  </si>
  <si>
    <t>Divident</t>
  </si>
  <si>
    <t>H</t>
  </si>
  <si>
    <t xml:space="preserve">                                                                                                               </t>
  </si>
  <si>
    <t xml:space="preserve">Three Stage </t>
  </si>
  <si>
    <t>HGP</t>
  </si>
  <si>
    <t>Growth rate</t>
  </si>
  <si>
    <t>Rate</t>
  </si>
  <si>
    <t xml:space="preserve">Expected </t>
  </si>
  <si>
    <t>Discount</t>
  </si>
  <si>
    <t>Phase 2</t>
  </si>
  <si>
    <t>Phase 3</t>
  </si>
  <si>
    <t>Terminal Value</t>
  </si>
  <si>
    <t>weighted average cost of capital</t>
  </si>
  <si>
    <t>INPUT</t>
  </si>
  <si>
    <t>Values</t>
  </si>
  <si>
    <t>Cost of Equity</t>
  </si>
  <si>
    <t>Risk Free Premium</t>
  </si>
  <si>
    <t>Rf</t>
  </si>
  <si>
    <t>Risk free rate (Rf)</t>
  </si>
  <si>
    <t>B</t>
  </si>
  <si>
    <t>Beta (Historical)</t>
  </si>
  <si>
    <t>MR</t>
  </si>
  <si>
    <t>Market risk premium (MRP)</t>
  </si>
  <si>
    <t>Ke</t>
  </si>
  <si>
    <t>Cost of Equity (Ke = Rf + β×MRP)</t>
  </si>
  <si>
    <t>Interest Expense</t>
  </si>
  <si>
    <t>Cost of Debt</t>
  </si>
  <si>
    <t>Kd</t>
  </si>
  <si>
    <t>Interest Expense (INR Cr)</t>
  </si>
  <si>
    <t>t</t>
  </si>
  <si>
    <t>Total Debt (INR Cr)</t>
  </si>
  <si>
    <t>Cost of Debt (Kd = Interest/Debt)</t>
  </si>
  <si>
    <t>Weight of Equity</t>
  </si>
  <si>
    <t>Tax Rate (t)</t>
  </si>
  <si>
    <t>Weight of Debt</t>
  </si>
  <si>
    <t>Cost of Debt after tax [Kd×(1−t)]</t>
  </si>
  <si>
    <t>WACC</t>
  </si>
  <si>
    <t>Capital Structure</t>
  </si>
  <si>
    <t>Total Equity (INR Cr)</t>
  </si>
  <si>
    <t>Total Capital (Debt + Equity)</t>
  </si>
  <si>
    <t>% of Debt (Weight of Debt)</t>
  </si>
  <si>
    <t>% of Equity (Weight of Equity)</t>
  </si>
  <si>
    <t>Debt to Equity Ratio</t>
  </si>
  <si>
    <t>WACC = We×Ke + Wd×Kd×(1−t)</t>
  </si>
  <si>
    <t>EVA</t>
  </si>
  <si>
    <t>VALUE</t>
  </si>
  <si>
    <t>TOTAL CAPITAL EMPLOYED</t>
  </si>
  <si>
    <t>TAX</t>
  </si>
  <si>
    <t>NOPAT</t>
  </si>
  <si>
    <t xml:space="preserve">DCF VALUATION </t>
  </si>
  <si>
    <t>Assumptions/Base</t>
  </si>
  <si>
    <t>Discount Rate (WACC)</t>
  </si>
  <si>
    <t>Perpetural Growth Rate</t>
  </si>
  <si>
    <t>Valuation Date</t>
  </si>
  <si>
    <t>Last Fiscal Year End</t>
  </si>
  <si>
    <t>31-Mar-25</t>
  </si>
  <si>
    <t>Current Market Price</t>
  </si>
  <si>
    <t>Total Shares Outstanding (in Cr.)</t>
  </si>
  <si>
    <t>Debt (in Cr.)</t>
  </si>
  <si>
    <t xml:space="preserve">Intrinsic Value </t>
  </si>
  <si>
    <t>Cash (in Cr.)</t>
  </si>
  <si>
    <t>PV of Cash Flows</t>
  </si>
  <si>
    <t>Continuing Value</t>
  </si>
  <si>
    <t>PV of contuning value</t>
  </si>
  <si>
    <t>Discounted Cash Flows</t>
  </si>
  <si>
    <t>Enterprise Value (in Cr)</t>
  </si>
  <si>
    <t>Year ˃</t>
  </si>
  <si>
    <t xml:space="preserve">Perpetuity Growth </t>
  </si>
  <si>
    <t>Less: Debt (in Cr)</t>
  </si>
  <si>
    <t>Add: Cash (in Cr)</t>
  </si>
  <si>
    <t>Equity Value (in Cr)</t>
  </si>
  <si>
    <t>No. of share (in Cr.)</t>
  </si>
  <si>
    <t>Intrincsic value of share</t>
  </si>
  <si>
    <t>Add- Depreciation</t>
  </si>
  <si>
    <t>Current share price</t>
  </si>
  <si>
    <t>Less-Capex</t>
  </si>
  <si>
    <t>No of shares</t>
  </si>
  <si>
    <t>Less-Net Changes In WC</t>
  </si>
  <si>
    <t>Market capitalization (in Cr)</t>
  </si>
  <si>
    <t>Free Cash Flows</t>
  </si>
  <si>
    <t>Growth</t>
  </si>
  <si>
    <t>Discounting Factor</t>
  </si>
  <si>
    <t>PV of Free Cash Flow</t>
  </si>
  <si>
    <t>Market Value vs Fair Value</t>
  </si>
  <si>
    <t>CMP</t>
  </si>
  <si>
    <t>Upside Potential</t>
  </si>
  <si>
    <t>Fair Value</t>
  </si>
  <si>
    <t>Upside Potential %</t>
  </si>
  <si>
    <t>Nature</t>
  </si>
  <si>
    <t xml:space="preserve">Recommendation </t>
  </si>
  <si>
    <t>RATIOS</t>
  </si>
  <si>
    <t>previous year</t>
  </si>
  <si>
    <t>Forcasted year</t>
  </si>
  <si>
    <t>INR Cr.</t>
  </si>
  <si>
    <t>Operating Income (%)</t>
  </si>
  <si>
    <t>EBITDA (%)</t>
  </si>
  <si>
    <t>Adj PAT (%)</t>
  </si>
  <si>
    <t>Adj EPS (%)</t>
  </si>
  <si>
    <t>Profitability</t>
  </si>
  <si>
    <t>EBITDA Margin (%)</t>
  </si>
  <si>
    <t>Operating Income</t>
  </si>
  <si>
    <t>EBIT Margin (%)</t>
  </si>
  <si>
    <t>PAT</t>
  </si>
  <si>
    <t>PAT Margin (%)</t>
  </si>
  <si>
    <t>ROE (%)</t>
  </si>
  <si>
    <t>ROCE (%)</t>
  </si>
  <si>
    <t>Valuations</t>
  </si>
  <si>
    <t>Price-earnings</t>
  </si>
  <si>
    <t>Price-book</t>
  </si>
  <si>
    <t xml:space="preserve">EV/EBITDA </t>
  </si>
  <si>
    <t>EV/Sales</t>
  </si>
  <si>
    <t>Dividend payout ratio (%)</t>
  </si>
  <si>
    <t>Dividend yield (%)</t>
  </si>
  <si>
    <t>B/S ratios</t>
  </si>
  <si>
    <t>Inventory days</t>
  </si>
  <si>
    <t>Creditor days</t>
  </si>
  <si>
    <t>Debtor days</t>
  </si>
  <si>
    <t>Asset turnover</t>
  </si>
  <si>
    <t>Current ratio</t>
  </si>
  <si>
    <t>Debt/equity</t>
  </si>
  <si>
    <t>Interest Coverage ratio</t>
  </si>
  <si>
    <t>Ratio Forcasted</t>
  </si>
  <si>
    <t>EBIT Growth</t>
  </si>
  <si>
    <t>EPS Growth (%)</t>
  </si>
  <si>
    <t>PE</t>
  </si>
  <si>
    <t>P/BV</t>
  </si>
  <si>
    <t>Cash Flow from Fianncial Statement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</si>
</sst>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.00_-;\-* #,##0.00_-;_-* \-??_-;_-@_-"/>
    <numFmt numFmtId="165" formatCode="_(* #,##0.00_);_(* \(#,##0.00\);_(* \-??_);_(@_)"/>
    <numFmt numFmtId="166" formatCode="_(* #,##0.0_);_(* \(#,##0.0\);_(* \-?_);@_)"/>
    <numFmt numFmtId="167" formatCode="0.00000"/>
    <numFmt numFmtId="168" formatCode="0.0"/>
    <numFmt numFmtId="169" formatCode="0.000"/>
    <numFmt numFmtId="170" formatCode="#,##0.000"/>
    <numFmt numFmtId="171" formatCode="_ * #,##0.00_ ;_ * \-#,##0.00_ ;_ * \-??_ ;_ @_ "/>
    <numFmt numFmtId="172" formatCode="_(* #,##0_);_(* \(#,##0\);_(* \-?_);@_)"/>
    <numFmt numFmtId="173" formatCode="d\-mmm\-yy"/>
    <numFmt numFmtId="174" formatCode="0.0000"/>
    <numFmt numFmtId="175" formatCode="0.0000000000000000%"/>
    <numFmt numFmtId="176" formatCode="0.00\x"/>
    <numFmt numFmtId="177" formatCode="_-* #,##0_-;\(#,##0\)_-;_-* \-_-;_-@_-"/>
    <numFmt numFmtId="178" formatCode="mm/dd/yy"/>
    <numFmt numFmtId="179" formatCode="_ &quot;₹ &quot;* #,##0.00_ ;_ &quot;₹ &quot;* \-#,##0.00_ ;_ &quot;₹ &quot;* \-??_ ;_ @_ "/>
    <numFmt numFmtId="180" formatCode="0.00000E+00"/>
    <numFmt numFmtId="181" formatCode="#,##0.0"/>
  </numFmts>
  <fonts count="5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rgb="FF000000"/>
      <name val="Roboto"/>
      <charset val="1"/>
    </font>
    <font>
      <b/>
      <sz val="10"/>
      <color rgb="FF303030"/>
      <name val="Google Sans Text"/>
      <charset val="1"/>
    </font>
    <font>
      <b/>
      <sz val="16"/>
      <color theme="1"/>
      <name val="Calibri"/>
      <family val="2"/>
      <charset val="1"/>
    </font>
    <font>
      <b/>
      <sz val="18"/>
      <color theme="4" tint="-0.499984740745262"/>
      <name val="Arial"/>
      <family val="2"/>
      <charset val="1"/>
    </font>
    <font>
      <b/>
      <sz val="10"/>
      <color rgb="FF3ECDF4"/>
      <name val="Calibri"/>
      <family val="2"/>
      <charset val="1"/>
    </font>
    <font>
      <b/>
      <sz val="11"/>
      <color rgb="FF002060"/>
      <name val="Calibri"/>
      <family val="2"/>
      <charset val="1"/>
    </font>
    <font>
      <b/>
      <sz val="11"/>
      <color theme="4" tint="-0.499984740745262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0"/>
      <name val="Arial"/>
      <family val="2"/>
      <charset val="1"/>
    </font>
    <font>
      <b/>
      <sz val="9"/>
      <name val="Arial"/>
      <family val="2"/>
      <charset val="1"/>
    </font>
    <font>
      <b/>
      <sz val="11"/>
      <color theme="4" tint="-0.499984740745262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18"/>
      <color theme="3"/>
      <name val="Calibri"/>
      <family val="2"/>
      <charset val="1"/>
    </font>
    <font>
      <b/>
      <sz val="14"/>
      <color theme="3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rgb="FF3ECDF4"/>
      <name val="Arial Black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2"/>
      <name val="Cambria"/>
      <family val="1"/>
      <charset val="1"/>
    </font>
    <font>
      <sz val="12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1"/>
      <color rgb="FF000000"/>
      <name val="Cambria"/>
      <family val="1"/>
      <charset val="1"/>
    </font>
    <font>
      <b/>
      <sz val="11"/>
      <name val="Cambria"/>
      <charset val="1"/>
    </font>
    <font>
      <sz val="11"/>
      <color rgb="FF008000"/>
      <name val="Cambria"/>
      <charset val="1"/>
    </font>
    <font>
      <b/>
      <sz val="11"/>
      <color rgb="FFFFFFFF"/>
      <name val="Cambria"/>
      <charset val="1"/>
    </font>
    <font>
      <b/>
      <sz val="14"/>
      <color theme="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Calibri"/>
      <family val="2"/>
      <charset val="1"/>
    </font>
    <font>
      <b/>
      <sz val="11"/>
      <color rgb="FF000000"/>
      <name val="Cambria"/>
      <charset val="1"/>
    </font>
    <font>
      <b/>
      <sz val="16"/>
      <color theme="1"/>
      <name val="Times New Roman"/>
      <family val="1"/>
      <charset val="1"/>
    </font>
    <font>
      <b/>
      <sz val="10"/>
      <color theme="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Calibri"/>
      <family val="2"/>
      <charset val="1"/>
    </font>
    <font>
      <b/>
      <sz val="26"/>
      <name val="Calibri"/>
      <family val="2"/>
      <charset val="1"/>
    </font>
    <font>
      <b/>
      <sz val="8"/>
      <color theme="0"/>
      <name val="Arial"/>
      <family val="2"/>
      <charset val="1"/>
    </font>
    <font>
      <sz val="11"/>
      <name val="Cambria"/>
      <family val="1"/>
      <charset val="1"/>
    </font>
    <font>
      <sz val="11"/>
      <color theme="1"/>
      <name val="Calibri"/>
      <family val="2"/>
      <charset val="1"/>
    </font>
    <font>
      <sz val="11"/>
      <name val="Cambria"/>
      <family val="1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22"/>
      <color theme="1"/>
      <name val="Arial"/>
      <family val="2"/>
      <charset val="1"/>
    </font>
    <font>
      <b/>
      <sz val="14"/>
      <color theme="4" tint="-0.499984740745262"/>
      <name val="Arial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ECECEC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9" tint="0.79979857783745845"/>
        <bgColor rgb="FFECECEC"/>
      </patternFill>
    </fill>
    <fill>
      <patternFill patternType="solid">
        <fgColor theme="9" tint="0.59959715567491678"/>
        <bgColor rgb="FFD9D9D9"/>
      </patternFill>
    </fill>
    <fill>
      <patternFill patternType="solid">
        <fgColor theme="2" tint="-0.249977111117893"/>
        <bgColor rgb="FFAAAAAA"/>
      </patternFill>
    </fill>
    <fill>
      <patternFill patternType="solid">
        <fgColor theme="3" tint="0.79979857783745845"/>
        <bgColor rgb="FFDDDDDD"/>
      </patternFill>
    </fill>
    <fill>
      <patternFill patternType="solid">
        <fgColor theme="4" tint="-0.499984740745262"/>
        <bgColor rgb="FF1C3158"/>
      </patternFill>
    </fill>
    <fill>
      <patternFill patternType="solid">
        <fgColor rgb="FFE0E0E0"/>
        <bgColor rgb="FFDDDDDD"/>
      </patternFill>
    </fill>
    <fill>
      <patternFill patternType="solid">
        <fgColor theme="7" tint="0.59959715567491678"/>
        <bgColor rgb="FFF8CBAD"/>
      </patternFill>
    </fill>
    <fill>
      <patternFill patternType="solid">
        <fgColor rgb="FF9A9696"/>
        <bgColor rgb="FFA5A5A5"/>
      </patternFill>
    </fill>
    <fill>
      <patternFill patternType="solid">
        <fgColor rgb="FF1C3158"/>
        <bgColor rgb="FF203864"/>
      </patternFill>
    </fill>
    <fill>
      <patternFill patternType="solid">
        <fgColor rgb="FFA8A8A8"/>
        <bgColor rgb="FFAAAAAA"/>
      </patternFill>
    </fill>
    <fill>
      <patternFill patternType="solid">
        <fgColor theme="8" tint="0.79979857783745845"/>
        <bgColor rgb="FFDAE3F3"/>
      </patternFill>
    </fill>
    <fill>
      <patternFill patternType="solid">
        <fgColor theme="4" tint="0.59959715567491678"/>
        <bgColor rgb="FFBFBFBF"/>
      </patternFill>
    </fill>
    <fill>
      <patternFill patternType="solid">
        <fgColor theme="4" tint="0.79979857783745845"/>
        <bgColor rgb="FFD6E4F0"/>
      </patternFill>
    </fill>
    <fill>
      <patternFill patternType="solid">
        <fgColor rgb="FF1F4E79"/>
        <bgColor rgb="FF203864"/>
      </patternFill>
    </fill>
    <fill>
      <patternFill patternType="solid">
        <fgColor theme="4"/>
        <bgColor rgb="FF44546A"/>
      </patternFill>
    </fill>
    <fill>
      <patternFill patternType="solid">
        <fgColor theme="0" tint="-0.249977111117893"/>
        <bgColor rgb="FFD0CECE"/>
      </patternFill>
    </fill>
    <fill>
      <patternFill patternType="solid">
        <fgColor rgb="FFC00000"/>
        <bgColor rgb="FFFF0000"/>
      </patternFill>
    </fill>
    <fill>
      <patternFill patternType="solid">
        <fgColor theme="5" tint="0.59959715567491678"/>
        <bgColor rgb="FFFFE6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203864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4546A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CECE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CECE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DDDDDD"/>
      </top>
      <bottom style="medium">
        <color rgb="FFECECEC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/>
      <bottom/>
      <diagonal/>
    </border>
    <border>
      <left style="medium">
        <color auto="1"/>
      </left>
      <right style="thin">
        <color theme="0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AAAAAA"/>
      </right>
      <top style="medium">
        <color auto="1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auto="1"/>
      </top>
      <bottom style="thin">
        <color rgb="FFAAAAAA"/>
      </bottom>
      <diagonal/>
    </border>
    <border>
      <left style="thin">
        <color rgb="FFAAAAAA"/>
      </left>
      <right style="medium">
        <color auto="1"/>
      </right>
      <top style="medium">
        <color auto="1"/>
      </top>
      <bottom style="thin">
        <color rgb="FFAAAAAA"/>
      </bottom>
      <diagonal/>
    </border>
    <border>
      <left style="medium">
        <color auto="1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auto="1"/>
      </right>
      <top style="thin">
        <color rgb="FFAAAAAA"/>
      </top>
      <bottom style="thin">
        <color rgb="FFAAAAAA"/>
      </bottom>
      <diagonal/>
    </border>
    <border>
      <left style="medium">
        <color auto="1"/>
      </left>
      <right style="thin">
        <color rgb="FFAAAAAA"/>
      </right>
      <top style="thin">
        <color rgb="FFAAAAAA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auto="1"/>
      </bottom>
      <diagonal/>
    </border>
    <border>
      <left style="thin">
        <color rgb="FFAAAAAA"/>
      </left>
      <right style="medium">
        <color auto="1"/>
      </right>
      <top style="thin">
        <color rgb="FFAAAAAA"/>
      </top>
      <bottom style="medium">
        <color auto="1"/>
      </bottom>
      <diagonal/>
    </border>
  </borders>
  <cellStyleXfs count="3">
    <xf numFmtId="0" fontId="0" fillId="0" borderId="0"/>
    <xf numFmtId="164" fontId="45" fillId="0" borderId="0"/>
    <xf numFmtId="165" fontId="45" fillId="0" borderId="0"/>
  </cellStyleXfs>
  <cellXfs count="343">
    <xf numFmtId="0" fontId="0" fillId="0" borderId="0" xfId="0"/>
    <xf numFmtId="171" fontId="21" fillId="2" borderId="42" xfId="0" applyNumberFormat="1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171" fontId="12" fillId="8" borderId="16" xfId="0" applyNumberFormat="1" applyFont="1" applyFill="1" applyBorder="1" applyAlignment="1">
      <alignment horizontal="center"/>
    </xf>
    <xf numFmtId="0" fontId="12" fillId="8" borderId="14" xfId="0" applyFont="1" applyFill="1" applyBorder="1" applyAlignment="1">
      <alignment horizontal="center"/>
    </xf>
    <xf numFmtId="166" fontId="15" fillId="8" borderId="3" xfId="0" applyNumberFormat="1" applyFont="1" applyFill="1" applyBorder="1" applyAlignment="1">
      <alignment horizontal="center"/>
    </xf>
    <xf numFmtId="171" fontId="12" fillId="8" borderId="11" xfId="0" applyNumberFormat="1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1" fillId="7" borderId="24" xfId="0" applyFont="1" applyFill="1" applyBorder="1" applyAlignment="1">
      <alignment horizontal="center"/>
    </xf>
    <xf numFmtId="166" fontId="7" fillId="3" borderId="1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32" fillId="17" borderId="43" xfId="0" applyFont="1" applyFill="1" applyBorder="1" applyAlignment="1">
      <alignment horizontal="center"/>
    </xf>
    <xf numFmtId="0" fontId="33" fillId="18" borderId="20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2" fillId="0" borderId="6" xfId="0" applyFont="1" applyBorder="1" applyAlignment="1">
      <alignment vertical="center" wrapText="1"/>
    </xf>
    <xf numFmtId="0" fontId="4" fillId="2" borderId="7" xfId="0" applyFont="1" applyFill="1" applyBorder="1" applyAlignment="1">
      <alignment horizontal="right" vertical="top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10" fontId="5" fillId="0" borderId="0" xfId="0" applyNumberFormat="1" applyFont="1"/>
    <xf numFmtId="0" fontId="0" fillId="0" borderId="11" xfId="0" applyBorder="1"/>
    <xf numFmtId="10" fontId="1" fillId="0" borderId="0" xfId="0" applyNumberFormat="1" applyFont="1"/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1" fillId="2" borderId="13" xfId="0" applyFont="1" applyFill="1" applyBorder="1"/>
    <xf numFmtId="0" fontId="1" fillId="2" borderId="14" xfId="0" applyFont="1" applyFill="1" applyBorder="1"/>
    <xf numFmtId="0" fontId="0" fillId="0" borderId="14" xfId="0" applyBorder="1"/>
    <xf numFmtId="0" fontId="0" fillId="0" borderId="16" xfId="0" applyBorder="1"/>
    <xf numFmtId="0" fontId="1" fillId="2" borderId="17" xfId="0" applyFont="1" applyFill="1" applyBorder="1"/>
    <xf numFmtId="0" fontId="1" fillId="2" borderId="0" xfId="0" applyFont="1" applyFill="1"/>
    <xf numFmtId="0" fontId="0" fillId="0" borderId="18" xfId="0" applyBorder="1"/>
    <xf numFmtId="0" fontId="0" fillId="0" borderId="17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9" xfId="0" applyFont="1" applyFill="1" applyBorder="1"/>
    <xf numFmtId="0" fontId="0" fillId="4" borderId="0" xfId="0" applyFill="1"/>
    <xf numFmtId="0" fontId="0" fillId="5" borderId="0" xfId="0" applyFill="1"/>
    <xf numFmtId="4" fontId="3" fillId="4" borderId="0" xfId="0" applyNumberFormat="1" applyFont="1" applyFill="1" applyAlignment="1">
      <alignment wrapText="1"/>
    </xf>
    <xf numFmtId="0" fontId="3" fillId="4" borderId="0" xfId="0" applyFont="1" applyFill="1" applyAlignment="1">
      <alignment wrapText="1"/>
    </xf>
    <xf numFmtId="4" fontId="0" fillId="4" borderId="0" xfId="0" applyNumberFormat="1" applyFill="1"/>
    <xf numFmtId="4" fontId="0" fillId="5" borderId="0" xfId="0" applyNumberFormat="1" applyFill="1"/>
    <xf numFmtId="0" fontId="1" fillId="0" borderId="17" xfId="0" applyFont="1" applyBorder="1" applyAlignment="1">
      <alignment horizontal="center"/>
    </xf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1" fillId="0" borderId="0" xfId="0" applyFont="1" applyAlignment="1">
      <alignment wrapText="1"/>
    </xf>
    <xf numFmtId="0" fontId="2" fillId="2" borderId="17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vertical="center" wrapText="1"/>
    </xf>
    <xf numFmtId="0" fontId="2" fillId="0" borderId="23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 wrapText="1"/>
    </xf>
    <xf numFmtId="0" fontId="0" fillId="5" borderId="18" xfId="0" applyFill="1" applyBorder="1"/>
    <xf numFmtId="167" fontId="0" fillId="5" borderId="0" xfId="0" applyNumberFormat="1" applyFill="1"/>
    <xf numFmtId="167" fontId="0" fillId="5" borderId="18" xfId="0" applyNumberFormat="1" applyFill="1" applyBorder="1"/>
    <xf numFmtId="168" fontId="0" fillId="5" borderId="0" xfId="0" applyNumberFormat="1" applyFill="1"/>
    <xf numFmtId="168" fontId="0" fillId="5" borderId="18" xfId="0" applyNumberFormat="1" applyFill="1" applyBorder="1"/>
    <xf numFmtId="0" fontId="8" fillId="2" borderId="17" xfId="0" applyFont="1" applyFill="1" applyBorder="1" applyAlignment="1">
      <alignment vertical="center" wrapText="1"/>
    </xf>
    <xf numFmtId="169" fontId="0" fillId="4" borderId="0" xfId="0" applyNumberFormat="1" applyFill="1"/>
    <xf numFmtId="0" fontId="1" fillId="5" borderId="18" xfId="0" applyFont="1" applyFill="1" applyBorder="1"/>
    <xf numFmtId="0" fontId="9" fillId="6" borderId="17" xfId="0" applyFont="1" applyFill="1" applyBorder="1" applyAlignment="1">
      <alignment vertical="center" wrapText="1"/>
    </xf>
    <xf numFmtId="4" fontId="1" fillId="4" borderId="0" xfId="0" applyNumberFormat="1" applyFont="1" applyFill="1"/>
    <xf numFmtId="0" fontId="1" fillId="5" borderId="0" xfId="0" applyFont="1" applyFill="1"/>
    <xf numFmtId="0" fontId="1" fillId="4" borderId="0" xfId="0" applyFont="1" applyFill="1"/>
    <xf numFmtId="0" fontId="10" fillId="2" borderId="17" xfId="0" applyFont="1" applyFill="1" applyBorder="1" applyAlignment="1">
      <alignment vertical="center" wrapText="1"/>
    </xf>
    <xf numFmtId="4" fontId="0" fillId="5" borderId="18" xfId="0" applyNumberFormat="1" applyFill="1" applyBorder="1"/>
    <xf numFmtId="0" fontId="2" fillId="6" borderId="17" xfId="0" applyFont="1" applyFill="1" applyBorder="1" applyAlignment="1">
      <alignment vertical="center" wrapText="1"/>
    </xf>
    <xf numFmtId="4" fontId="1" fillId="5" borderId="0" xfId="0" applyNumberFormat="1" applyFont="1" applyFill="1"/>
    <xf numFmtId="4" fontId="1" fillId="5" borderId="18" xfId="0" applyNumberFormat="1" applyFont="1" applyFill="1" applyBorder="1"/>
    <xf numFmtId="4" fontId="0" fillId="0" borderId="0" xfId="0" applyNumberFormat="1"/>
    <xf numFmtId="0" fontId="1" fillId="7" borderId="1" xfId="0" applyFont="1" applyFill="1" applyBorder="1"/>
    <xf numFmtId="0" fontId="1" fillId="7" borderId="23" xfId="0" applyFont="1" applyFill="1" applyBorder="1"/>
    <xf numFmtId="170" fontId="1" fillId="7" borderId="25" xfId="0" applyNumberFormat="1" applyFont="1" applyFill="1" applyBorder="1"/>
    <xf numFmtId="170" fontId="1" fillId="7" borderId="26" xfId="0" applyNumberFormat="1" applyFont="1" applyFill="1" applyBorder="1"/>
    <xf numFmtId="0" fontId="12" fillId="8" borderId="0" xfId="0" applyFont="1" applyFill="1"/>
    <xf numFmtId="0" fontId="13" fillId="9" borderId="27" xfId="0" applyFont="1" applyFill="1" applyBorder="1"/>
    <xf numFmtId="0" fontId="13" fillId="0" borderId="28" xfId="0" applyFont="1" applyBorder="1"/>
    <xf numFmtId="0" fontId="13" fillId="0" borderId="29" xfId="0" applyFont="1" applyBorder="1"/>
    <xf numFmtId="0" fontId="13" fillId="10" borderId="0" xfId="0" applyFont="1" applyFill="1"/>
    <xf numFmtId="0" fontId="13" fillId="10" borderId="11" xfId="0" applyFont="1" applyFill="1" applyBorder="1"/>
    <xf numFmtId="0" fontId="0" fillId="9" borderId="30" xfId="0" applyFill="1" applyBorder="1"/>
    <xf numFmtId="166" fontId="14" fillId="2" borderId="0" xfId="0" applyNumberFormat="1" applyFont="1" applyFill="1"/>
    <xf numFmtId="166" fontId="16" fillId="9" borderId="0" xfId="0" applyNumberFormat="1" applyFont="1" applyFill="1"/>
    <xf numFmtId="166" fontId="16" fillId="9" borderId="9" xfId="0" applyNumberFormat="1" applyFont="1" applyFill="1" applyBorder="1"/>
    <xf numFmtId="166" fontId="17" fillId="11" borderId="31" xfId="0" applyNumberFormat="1" applyFont="1" applyFill="1" applyBorder="1"/>
    <xf numFmtId="166" fontId="16" fillId="9" borderId="3" xfId="0" applyNumberFormat="1" applyFont="1" applyFill="1" applyBorder="1"/>
    <xf numFmtId="166" fontId="18" fillId="2" borderId="0" xfId="0" applyNumberFormat="1" applyFont="1" applyFill="1"/>
    <xf numFmtId="166" fontId="15" fillId="8" borderId="3" xfId="0" applyNumberFormat="1" applyFont="1" applyFill="1" applyBorder="1"/>
    <xf numFmtId="171" fontId="17" fillId="11" borderId="31" xfId="0" applyNumberFormat="1" applyFont="1" applyFill="1" applyBorder="1"/>
    <xf numFmtId="0" fontId="18" fillId="2" borderId="0" xfId="0" applyFont="1" applyFill="1"/>
    <xf numFmtId="166" fontId="15" fillId="12" borderId="0" xfId="0" applyNumberFormat="1" applyFont="1" applyFill="1"/>
    <xf numFmtId="0" fontId="16" fillId="9" borderId="0" xfId="0" applyFont="1" applyFill="1"/>
    <xf numFmtId="0" fontId="16" fillId="9" borderId="3" xfId="0" applyFont="1" applyFill="1" applyBorder="1"/>
    <xf numFmtId="172" fontId="16" fillId="9" borderId="0" xfId="0" applyNumberFormat="1" applyFont="1" applyFill="1"/>
    <xf numFmtId="172" fontId="16" fillId="9" borderId="3" xfId="0" applyNumberFormat="1" applyFont="1" applyFill="1" applyBorder="1"/>
    <xf numFmtId="172" fontId="16" fillId="13" borderId="0" xfId="0" applyNumberFormat="1" applyFont="1" applyFill="1"/>
    <xf numFmtId="0" fontId="12" fillId="8" borderId="32" xfId="0" applyFont="1" applyFill="1" applyBorder="1"/>
    <xf numFmtId="0" fontId="0" fillId="0" borderId="33" xfId="0" applyBorder="1"/>
    <xf numFmtId="0" fontId="0" fillId="0" borderId="34" xfId="0" applyBorder="1"/>
    <xf numFmtId="166" fontId="15" fillId="6" borderId="13" xfId="0" applyNumberFormat="1" applyFont="1" applyFill="1" applyBorder="1"/>
    <xf numFmtId="0" fontId="16" fillId="9" borderId="17" xfId="0" applyFont="1" applyFill="1" applyBorder="1"/>
    <xf numFmtId="171" fontId="18" fillId="2" borderId="0" xfId="0" applyNumberFormat="1" applyFont="1" applyFill="1"/>
    <xf numFmtId="171" fontId="18" fillId="2" borderId="18" xfId="0" applyNumberFormat="1" applyFont="1" applyFill="1" applyBorder="1"/>
    <xf numFmtId="171" fontId="0" fillId="0" borderId="0" xfId="0" applyNumberFormat="1"/>
    <xf numFmtId="9" fontId="16" fillId="2" borderId="0" xfId="0" applyNumberFormat="1" applyFont="1" applyFill="1"/>
    <xf numFmtId="10" fontId="1" fillId="0" borderId="18" xfId="0" applyNumberFormat="1" applyFont="1" applyBorder="1"/>
    <xf numFmtId="9" fontId="18" fillId="2" borderId="0" xfId="0" applyNumberFormat="1" applyFont="1" applyFill="1"/>
    <xf numFmtId="9" fontId="18" fillId="2" borderId="18" xfId="0" applyNumberFormat="1" applyFont="1" applyFill="1" applyBorder="1"/>
    <xf numFmtId="0" fontId="16" fillId="6" borderId="35" xfId="0" applyFont="1" applyFill="1" applyBorder="1"/>
    <xf numFmtId="171" fontId="16" fillId="6" borderId="36" xfId="0" applyNumberFormat="1" applyFont="1" applyFill="1" applyBorder="1"/>
    <xf numFmtId="171" fontId="16" fillId="6" borderId="37" xfId="0" applyNumberFormat="1" applyFont="1" applyFill="1" applyBorder="1"/>
    <xf numFmtId="0" fontId="0" fillId="6" borderId="21" xfId="0" applyFill="1" applyBorder="1"/>
    <xf numFmtId="0" fontId="0" fillId="6" borderId="22" xfId="0" applyFill="1" applyBorder="1"/>
    <xf numFmtId="0" fontId="1" fillId="2" borderId="0" xfId="0" applyFont="1" applyFill="1" applyAlignment="1">
      <alignment horizontal="left"/>
    </xf>
    <xf numFmtId="0" fontId="19" fillId="14" borderId="38" xfId="0" applyFont="1" applyFill="1" applyBorder="1" applyAlignment="1">
      <alignment horizontal="left" vertical="center"/>
    </xf>
    <xf numFmtId="0" fontId="20" fillId="2" borderId="39" xfId="0" applyFont="1" applyFill="1" applyBorder="1" applyAlignment="1">
      <alignment horizontal="center" vertical="center"/>
    </xf>
    <xf numFmtId="0" fontId="20" fillId="2" borderId="40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1" fontId="1" fillId="2" borderId="42" xfId="0" applyNumberFormat="1" applyFont="1" applyFill="1" applyBorder="1" applyAlignment="1">
      <alignment horizontal="left" vertical="center"/>
    </xf>
    <xf numFmtId="0" fontId="0" fillId="0" borderId="1" xfId="0" applyBorder="1"/>
    <xf numFmtId="0" fontId="0" fillId="0" borderId="23" xfId="0" applyBorder="1"/>
    <xf numFmtId="171" fontId="1" fillId="2" borderId="24" xfId="0" applyNumberFormat="1" applyFont="1" applyFill="1" applyBorder="1" applyAlignment="1">
      <alignment horizontal="left" vertical="center"/>
    </xf>
    <xf numFmtId="0" fontId="0" fillId="0" borderId="25" xfId="0" applyBorder="1"/>
    <xf numFmtId="167" fontId="0" fillId="0" borderId="25" xfId="0" applyNumberFormat="1" applyBorder="1"/>
    <xf numFmtId="167" fontId="0" fillId="0" borderId="26" xfId="0" applyNumberFormat="1" applyBorder="1"/>
    <xf numFmtId="0" fontId="1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/>
    <xf numFmtId="173" fontId="0" fillId="0" borderId="0" xfId="0" applyNumberFormat="1"/>
    <xf numFmtId="0" fontId="23" fillId="0" borderId="0" xfId="0" applyFont="1"/>
    <xf numFmtId="0" fontId="0" fillId="3" borderId="0" xfId="0" applyFill="1"/>
    <xf numFmtId="0" fontId="25" fillId="0" borderId="0" xfId="0" applyFont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0" fontId="1" fillId="3" borderId="2" xfId="0" applyFont="1" applyFill="1" applyBorder="1"/>
    <xf numFmtId="173" fontId="0" fillId="0" borderId="10" xfId="0" applyNumberFormat="1" applyBorder="1"/>
    <xf numFmtId="173" fontId="0" fillId="0" borderId="12" xfId="0" applyNumberFormat="1" applyBorder="1"/>
    <xf numFmtId="0" fontId="26" fillId="0" borderId="8" xfId="0" applyFont="1" applyBorder="1"/>
    <xf numFmtId="174" fontId="27" fillId="0" borderId="9" xfId="0" applyNumberFormat="1" applyFont="1" applyBorder="1" applyAlignment="1">
      <alignment horizontal="right"/>
    </xf>
    <xf numFmtId="174" fontId="27" fillId="0" borderId="2" xfId="0" applyNumberFormat="1" applyFont="1" applyBorder="1" applyAlignment="1">
      <alignment horizontal="right"/>
    </xf>
    <xf numFmtId="0" fontId="28" fillId="0" borderId="8" xfId="0" applyFont="1" applyBorder="1"/>
    <xf numFmtId="174" fontId="29" fillId="0" borderId="9" xfId="0" applyNumberFormat="1" applyFont="1" applyBorder="1" applyAlignment="1">
      <alignment horizontal="right"/>
    </xf>
    <xf numFmtId="174" fontId="29" fillId="0" borderId="2" xfId="0" applyNumberFormat="1" applyFont="1" applyBorder="1" applyAlignment="1">
      <alignment horizontal="right"/>
    </xf>
    <xf numFmtId="0" fontId="26" fillId="0" borderId="10" xfId="0" applyFont="1" applyBorder="1"/>
    <xf numFmtId="174" fontId="27" fillId="0" borderId="0" xfId="0" applyNumberFormat="1" applyFont="1" applyAlignment="1">
      <alignment horizontal="right"/>
    </xf>
    <xf numFmtId="174" fontId="27" fillId="0" borderId="11" xfId="0" applyNumberFormat="1" applyFont="1" applyBorder="1" applyAlignment="1">
      <alignment horizontal="right"/>
    </xf>
    <xf numFmtId="0" fontId="28" fillId="0" borderId="10" xfId="0" applyFont="1" applyBorder="1"/>
    <xf numFmtId="174" fontId="29" fillId="0" borderId="0" xfId="0" applyNumberFormat="1" applyFont="1" applyAlignment="1">
      <alignment horizontal="right"/>
    </xf>
    <xf numFmtId="174" fontId="29" fillId="0" borderId="11" xfId="0" applyNumberFormat="1" applyFont="1" applyBorder="1" applyAlignment="1">
      <alignment horizontal="right"/>
    </xf>
    <xf numFmtId="0" fontId="26" fillId="0" borderId="12" xfId="0" applyFont="1" applyBorder="1"/>
    <xf numFmtId="174" fontId="27" fillId="0" borderId="3" xfId="0" applyNumberFormat="1" applyFont="1" applyBorder="1" applyAlignment="1">
      <alignment horizontal="right"/>
    </xf>
    <xf numFmtId="174" fontId="27" fillId="0" borderId="4" xfId="0" applyNumberFormat="1" applyFont="1" applyBorder="1" applyAlignment="1">
      <alignment horizontal="right"/>
    </xf>
    <xf numFmtId="0" fontId="28" fillId="0" borderId="12" xfId="0" applyFont="1" applyBorder="1"/>
    <xf numFmtId="174" fontId="29" fillId="0" borderId="3" xfId="0" applyNumberFormat="1" applyFont="1" applyBorder="1" applyAlignment="1">
      <alignment horizontal="right"/>
    </xf>
    <xf numFmtId="174" fontId="29" fillId="0" borderId="4" xfId="0" applyNumberFormat="1" applyFont="1" applyBorder="1" applyAlignment="1">
      <alignment horizontal="right"/>
    </xf>
    <xf numFmtId="0" fontId="1" fillId="15" borderId="13" xfId="0" applyFont="1" applyFill="1" applyBorder="1"/>
    <xf numFmtId="0" fontId="1" fillId="15" borderId="14" xfId="0" applyFont="1" applyFill="1" applyBorder="1"/>
    <xf numFmtId="0" fontId="1" fillId="15" borderId="16" xfId="0" applyFont="1" applyFill="1" applyBorder="1"/>
    <xf numFmtId="0" fontId="0" fillId="0" borderId="17" xfId="0" applyBorder="1"/>
    <xf numFmtId="9" fontId="0" fillId="0" borderId="17" xfId="0" applyNumberFormat="1" applyBorder="1"/>
    <xf numFmtId="9" fontId="0" fillId="0" borderId="0" xfId="0" applyNumberFormat="1"/>
    <xf numFmtId="9" fontId="0" fillId="0" borderId="20" xfId="0" applyNumberFormat="1" applyBorder="1"/>
    <xf numFmtId="9" fontId="0" fillId="0" borderId="21" xfId="0" applyNumberFormat="1" applyBorder="1"/>
    <xf numFmtId="0" fontId="0" fillId="15" borderId="13" xfId="0" applyFill="1" applyBorder="1"/>
    <xf numFmtId="0" fontId="0" fillId="16" borderId="14" xfId="0" applyFill="1" applyBorder="1"/>
    <xf numFmtId="0" fontId="0" fillId="16" borderId="16" xfId="0" applyFill="1" applyBorder="1"/>
    <xf numFmtId="0" fontId="1" fillId="15" borderId="17" xfId="0" applyFont="1" applyFill="1" applyBorder="1"/>
    <xf numFmtId="0" fontId="1" fillId="15" borderId="20" xfId="0" applyFont="1" applyFill="1" applyBorder="1"/>
    <xf numFmtId="9" fontId="0" fillId="0" borderId="22" xfId="0" applyNumberFormat="1" applyBorder="1"/>
    <xf numFmtId="0" fontId="1" fillId="0" borderId="43" xfId="0" applyFont="1" applyBorder="1"/>
    <xf numFmtId="0" fontId="30" fillId="0" borderId="0" xfId="0" applyFont="1"/>
    <xf numFmtId="10" fontId="31" fillId="0" borderId="43" xfId="0" applyNumberFormat="1" applyFont="1" applyBorder="1"/>
    <xf numFmtId="0" fontId="0" fillId="0" borderId="43" xfId="0" applyBorder="1"/>
    <xf numFmtId="10" fontId="0" fillId="0" borderId="43" xfId="0" applyNumberFormat="1" applyBorder="1"/>
    <xf numFmtId="10" fontId="31" fillId="0" borderId="0" xfId="0" applyNumberFormat="1" applyFont="1"/>
    <xf numFmtId="174" fontId="31" fillId="0" borderId="43" xfId="0" applyNumberFormat="1" applyFont="1" applyBorder="1"/>
    <xf numFmtId="174" fontId="31" fillId="0" borderId="0" xfId="0" applyNumberFormat="1" applyFont="1"/>
    <xf numFmtId="0" fontId="28" fillId="0" borderId="0" xfId="0" applyFont="1"/>
    <xf numFmtId="0" fontId="29" fillId="0" borderId="0" xfId="0" applyFont="1"/>
    <xf numFmtId="174" fontId="0" fillId="0" borderId="0" xfId="0" applyNumberFormat="1"/>
    <xf numFmtId="9" fontId="1" fillId="0" borderId="0" xfId="0" applyNumberFormat="1" applyFont="1"/>
    <xf numFmtId="10" fontId="0" fillId="0" borderId="0" xfId="0" applyNumberFormat="1"/>
    <xf numFmtId="0" fontId="34" fillId="6" borderId="44" xfId="0" applyFont="1" applyFill="1" applyBorder="1"/>
    <xf numFmtId="0" fontId="34" fillId="6" borderId="45" xfId="0" applyFont="1" applyFill="1" applyBorder="1"/>
    <xf numFmtId="0" fontId="35" fillId="6" borderId="16" xfId="0" applyFont="1" applyFill="1" applyBorder="1"/>
    <xf numFmtId="0" fontId="0" fillId="2" borderId="1" xfId="0" applyFill="1" applyBorder="1"/>
    <xf numFmtId="10" fontId="0" fillId="0" borderId="1" xfId="0" applyNumberFormat="1" applyBorder="1"/>
    <xf numFmtId="0" fontId="36" fillId="9" borderId="43" xfId="0" applyFont="1" applyFill="1" applyBorder="1" applyAlignment="1">
      <alignment horizontal="left" indent="1"/>
    </xf>
    <xf numFmtId="9" fontId="0" fillId="0" borderId="1" xfId="0" applyNumberFormat="1" applyBorder="1"/>
    <xf numFmtId="175" fontId="0" fillId="0" borderId="1" xfId="0" applyNumberFormat="1" applyBorder="1"/>
    <xf numFmtId="10" fontId="36" fillId="19" borderId="43" xfId="0" applyNumberFormat="1" applyFont="1" applyFill="1" applyBorder="1" applyAlignment="1">
      <alignment horizontal="left" indent="1"/>
    </xf>
    <xf numFmtId="10" fontId="36" fillId="9" borderId="43" xfId="0" applyNumberFormat="1" applyFont="1" applyFill="1" applyBorder="1" applyAlignment="1">
      <alignment horizontal="left" indent="1"/>
    </xf>
    <xf numFmtId="4" fontId="0" fillId="0" borderId="1" xfId="0" applyNumberFormat="1" applyBorder="1"/>
    <xf numFmtId="165" fontId="36" fillId="19" borderId="43" xfId="0" applyNumberFormat="1" applyFont="1" applyFill="1" applyBorder="1" applyAlignment="1">
      <alignment horizontal="left" indent="1"/>
    </xf>
    <xf numFmtId="0" fontId="36" fillId="0" borderId="43" xfId="0" applyFont="1" applyBorder="1" applyAlignment="1">
      <alignment horizontal="left" indent="1"/>
    </xf>
    <xf numFmtId="0" fontId="1" fillId="2" borderId="1" xfId="0" applyFont="1" applyFill="1" applyBorder="1"/>
    <xf numFmtId="165" fontId="36" fillId="13" borderId="43" xfId="0" applyNumberFormat="1" applyFont="1" applyFill="1" applyBorder="1" applyAlignment="1">
      <alignment horizontal="left" indent="1"/>
    </xf>
    <xf numFmtId="0" fontId="32" fillId="20" borderId="43" xfId="0" applyFont="1" applyFill="1" applyBorder="1"/>
    <xf numFmtId="10" fontId="32" fillId="20" borderId="43" xfId="0" applyNumberFormat="1" applyFont="1" applyFill="1" applyBorder="1" applyAlignment="1">
      <alignment horizontal="right"/>
    </xf>
    <xf numFmtId="0" fontId="25" fillId="21" borderId="42" xfId="0" applyFont="1" applyFill="1" applyBorder="1"/>
    <xf numFmtId="0" fontId="25" fillId="21" borderId="1" xfId="0" applyFont="1" applyFill="1" applyBorder="1"/>
    <xf numFmtId="0" fontId="25" fillId="21" borderId="23" xfId="0" applyFont="1" applyFill="1" applyBorder="1"/>
    <xf numFmtId="0" fontId="0" fillId="0" borderId="42" xfId="0" applyBorder="1"/>
    <xf numFmtId="4" fontId="0" fillId="0" borderId="23" xfId="0" applyNumberFormat="1" applyBorder="1"/>
    <xf numFmtId="3" fontId="0" fillId="0" borderId="23" xfId="0" applyNumberFormat="1" applyBorder="1"/>
    <xf numFmtId="9" fontId="0" fillId="0" borderId="23" xfId="0" applyNumberForma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0" xfId="0" applyFont="1" applyAlignment="1">
      <alignment vertical="center" wrapText="1"/>
    </xf>
    <xf numFmtId="177" fontId="13" fillId="9" borderId="17" xfId="0" applyNumberFormat="1" applyFont="1" applyFill="1" applyBorder="1"/>
    <xf numFmtId="9" fontId="0" fillId="0" borderId="18" xfId="0" applyNumberFormat="1" applyBorder="1"/>
    <xf numFmtId="177" fontId="16" fillId="9" borderId="17" xfId="0" applyNumberFormat="1" applyFont="1" applyFill="1" applyBorder="1"/>
    <xf numFmtId="178" fontId="0" fillId="0" borderId="18" xfId="0" applyNumberFormat="1" applyBorder="1"/>
    <xf numFmtId="177" fontId="16" fillId="9" borderId="20" xfId="0" applyNumberFormat="1" applyFont="1" applyFill="1" applyBorder="1"/>
    <xf numFmtId="0" fontId="16" fillId="9" borderId="48" xfId="0" applyFont="1" applyFill="1" applyBorder="1" applyAlignment="1">
      <alignment horizontal="left"/>
    </xf>
    <xf numFmtId="165" fontId="18" fillId="0" borderId="49" xfId="0" applyNumberFormat="1" applyFont="1" applyBorder="1" applyAlignment="1">
      <alignment horizontal="right"/>
    </xf>
    <xf numFmtId="0" fontId="16" fillId="9" borderId="50" xfId="0" applyFont="1" applyFill="1" applyBorder="1" applyAlignment="1">
      <alignment horizontal="left"/>
    </xf>
    <xf numFmtId="165" fontId="18" fillId="0" borderId="51" xfId="0" applyNumberFormat="1" applyFont="1" applyBorder="1" applyAlignment="1">
      <alignment horizontal="right"/>
    </xf>
    <xf numFmtId="0" fontId="39" fillId="0" borderId="0" xfId="0" applyFont="1"/>
    <xf numFmtId="0" fontId="16" fillId="9" borderId="10" xfId="0" applyFont="1" applyFill="1" applyBorder="1" applyAlignment="1">
      <alignment horizontal="left"/>
    </xf>
    <xf numFmtId="165" fontId="18" fillId="0" borderId="52" xfId="0" applyNumberFormat="1" applyFont="1" applyBorder="1" applyAlignment="1">
      <alignment horizontal="right"/>
    </xf>
    <xf numFmtId="0" fontId="40" fillId="6" borderId="14" xfId="0" applyFont="1" applyFill="1" applyBorder="1" applyAlignment="1">
      <alignment horizontal="center"/>
    </xf>
    <xf numFmtId="0" fontId="40" fillId="6" borderId="16" xfId="0" applyFont="1" applyFill="1" applyBorder="1" applyAlignment="1">
      <alignment horizontal="center"/>
    </xf>
    <xf numFmtId="0" fontId="12" fillId="2" borderId="53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left"/>
    </xf>
    <xf numFmtId="179" fontId="40" fillId="19" borderId="54" xfId="0" applyNumberFormat="1" applyFont="1" applyFill="1" applyBorder="1"/>
    <xf numFmtId="0" fontId="13" fillId="6" borderId="17" xfId="0" applyFont="1" applyFill="1" applyBorder="1" applyAlignment="1">
      <alignment horizontal="left" wrapText="1"/>
    </xf>
    <xf numFmtId="0" fontId="13" fillId="6" borderId="0" xfId="0" applyFont="1" applyFill="1" applyAlignment="1">
      <alignment horizontal="left" wrapText="1"/>
    </xf>
    <xf numFmtId="0" fontId="13" fillId="6" borderId="18" xfId="0" applyFont="1" applyFill="1" applyBorder="1" applyAlignment="1">
      <alignment horizontal="left" wrapText="1"/>
    </xf>
    <xf numFmtId="165" fontId="18" fillId="0" borderId="55" xfId="0" applyNumberFormat="1" applyFont="1" applyBorder="1" applyAlignment="1">
      <alignment horizontal="right"/>
    </xf>
    <xf numFmtId="0" fontId="41" fillId="6" borderId="1" xfId="0" applyFont="1" applyFill="1" applyBorder="1" applyAlignment="1">
      <alignment horizontal="center" vertical="center" wrapText="1"/>
    </xf>
    <xf numFmtId="0" fontId="16" fillId="9" borderId="56" xfId="0" applyFont="1" applyFill="1" applyBorder="1" applyAlignment="1">
      <alignment horizontal="left"/>
    </xf>
    <xf numFmtId="165" fontId="18" fillId="0" borderId="57" xfId="0" applyNumberFormat="1" applyFont="1" applyBorder="1" applyAlignment="1">
      <alignment horizontal="right"/>
    </xf>
    <xf numFmtId="0" fontId="16" fillId="9" borderId="17" xfId="0" applyFont="1" applyFill="1" applyBorder="1" applyAlignment="1">
      <alignment horizontal="left"/>
    </xf>
    <xf numFmtId="0" fontId="16" fillId="9" borderId="58" xfId="0" applyFont="1" applyFill="1" applyBorder="1" applyAlignment="1">
      <alignment horizontal="left"/>
    </xf>
    <xf numFmtId="179" fontId="40" fillId="19" borderId="59" xfId="0" applyNumberFormat="1" applyFont="1" applyFill="1" applyBorder="1"/>
    <xf numFmtId="165" fontId="18" fillId="0" borderId="11" xfId="0" applyNumberFormat="1" applyFont="1" applyBorder="1" applyAlignment="1">
      <alignment horizontal="right"/>
    </xf>
    <xf numFmtId="179" fontId="40" fillId="19" borderId="11" xfId="0" applyNumberFormat="1" applyFont="1" applyFill="1" applyBorder="1"/>
    <xf numFmtId="0" fontId="16" fillId="9" borderId="12" xfId="0" applyFont="1" applyFill="1" applyBorder="1" applyAlignment="1">
      <alignment horizontal="left"/>
    </xf>
    <xf numFmtId="179" fontId="40" fillId="19" borderId="4" xfId="0" applyNumberFormat="1" applyFont="1" applyFill="1" applyBorder="1"/>
    <xf numFmtId="165" fontId="40" fillId="19" borderId="60" xfId="0" applyNumberFormat="1" applyFont="1" applyFill="1" applyBorder="1"/>
    <xf numFmtId="165" fontId="40" fillId="19" borderId="35" xfId="0" applyNumberFormat="1" applyFont="1" applyFill="1" applyBorder="1"/>
    <xf numFmtId="0" fontId="16" fillId="9" borderId="17" xfId="0" applyFont="1" applyFill="1" applyBorder="1" applyAlignment="1">
      <alignment wrapText="1"/>
    </xf>
    <xf numFmtId="0" fontId="16" fillId="9" borderId="62" xfId="0" applyFont="1" applyFill="1" applyBorder="1"/>
    <xf numFmtId="179" fontId="0" fillId="0" borderId="18" xfId="0" applyNumberFormat="1" applyBorder="1"/>
    <xf numFmtId="0" fontId="16" fillId="9" borderId="63" xfId="0" applyFont="1" applyFill="1" applyBorder="1"/>
    <xf numFmtId="0" fontId="1" fillId="6" borderId="17" xfId="0" applyFont="1" applyFill="1" applyBorder="1"/>
    <xf numFmtId="0" fontId="43" fillId="6" borderId="13" xfId="0" applyFont="1" applyFill="1" applyBorder="1" applyAlignment="1">
      <alignment horizontal="left"/>
    </xf>
    <xf numFmtId="0" fontId="1" fillId="0" borderId="17" xfId="0" applyFont="1" applyBorder="1"/>
    <xf numFmtId="180" fontId="0" fillId="0" borderId="0" xfId="0" applyNumberFormat="1"/>
    <xf numFmtId="174" fontId="0" fillId="0" borderId="18" xfId="0" applyNumberFormat="1" applyBorder="1"/>
    <xf numFmtId="0" fontId="1" fillId="0" borderId="20" xfId="0" applyFont="1" applyBorder="1"/>
    <xf numFmtId="0" fontId="28" fillId="3" borderId="65" xfId="0" applyFont="1" applyFill="1" applyBorder="1" applyAlignment="1">
      <alignment horizontal="center"/>
    </xf>
    <xf numFmtId="0" fontId="28" fillId="3" borderId="66" xfId="0" applyFont="1" applyFill="1" applyBorder="1" applyAlignment="1">
      <alignment horizontal="center"/>
    </xf>
    <xf numFmtId="0" fontId="28" fillId="3" borderId="67" xfId="0" applyFont="1" applyFill="1" applyBorder="1" applyAlignment="1">
      <alignment horizontal="center"/>
    </xf>
    <xf numFmtId="0" fontId="28" fillId="2" borderId="68" xfId="0" applyFont="1" applyFill="1" applyBorder="1" applyAlignment="1">
      <alignment horizontal="left" indent="1"/>
    </xf>
    <xf numFmtId="181" fontId="44" fillId="2" borderId="43" xfId="0" applyNumberFormat="1" applyFont="1" applyFill="1" applyBorder="1" applyAlignment="1">
      <alignment horizontal="right"/>
    </xf>
    <xf numFmtId="181" fontId="44" fillId="2" borderId="69" xfId="0" applyNumberFormat="1" applyFont="1" applyFill="1" applyBorder="1" applyAlignment="1">
      <alignment horizontal="right"/>
    </xf>
    <xf numFmtId="10" fontId="44" fillId="2" borderId="43" xfId="0" applyNumberFormat="1" applyFont="1" applyFill="1" applyBorder="1" applyAlignment="1">
      <alignment horizontal="right"/>
    </xf>
    <xf numFmtId="10" fontId="44" fillId="2" borderId="69" xfId="0" applyNumberFormat="1" applyFont="1" applyFill="1" applyBorder="1" applyAlignment="1">
      <alignment horizontal="right"/>
    </xf>
    <xf numFmtId="4" fontId="44" fillId="2" borderId="43" xfId="0" applyNumberFormat="1" applyFont="1" applyFill="1" applyBorder="1" applyAlignment="1">
      <alignment horizontal="right"/>
    </xf>
    <xf numFmtId="4" fontId="44" fillId="2" borderId="69" xfId="0" applyNumberFormat="1" applyFont="1" applyFill="1" applyBorder="1" applyAlignment="1">
      <alignment horizontal="right"/>
    </xf>
    <xf numFmtId="3" fontId="44" fillId="2" borderId="43" xfId="0" applyNumberFormat="1" applyFont="1" applyFill="1" applyBorder="1" applyAlignment="1">
      <alignment horizontal="right"/>
    </xf>
    <xf numFmtId="3" fontId="44" fillId="2" borderId="69" xfId="0" applyNumberFormat="1" applyFont="1" applyFill="1" applyBorder="1" applyAlignment="1">
      <alignment horizontal="right"/>
    </xf>
    <xf numFmtId="0" fontId="28" fillId="2" borderId="70" xfId="0" applyFont="1" applyFill="1" applyBorder="1" applyAlignment="1">
      <alignment horizontal="left" indent="1"/>
    </xf>
    <xf numFmtId="4" fontId="44" fillId="2" borderId="71" xfId="0" applyNumberFormat="1" applyFont="1" applyFill="1" applyBorder="1" applyAlignment="1">
      <alignment horizontal="right"/>
    </xf>
    <xf numFmtId="4" fontId="44" fillId="2" borderId="72" xfId="0" applyNumberFormat="1" applyFont="1" applyFill="1" applyBorder="1" applyAlignment="1">
      <alignment horizontal="right"/>
    </xf>
    <xf numFmtId="171" fontId="21" fillId="3" borderId="42" xfId="0" applyNumberFormat="1" applyFont="1" applyFill="1" applyBorder="1" applyAlignment="1">
      <alignment horizontal="left" vertical="center"/>
    </xf>
    <xf numFmtId="0" fontId="24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0" fontId="37" fillId="0" borderId="46" xfId="0" applyFont="1" applyBorder="1" applyAlignment="1">
      <alignment horizontal="center" vertical="center" wrapText="1"/>
    </xf>
    <xf numFmtId="177" fontId="38" fillId="8" borderId="47" xfId="0" applyNumberFormat="1" applyFont="1" applyFill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38" fillId="8" borderId="0" xfId="0" applyFont="1" applyFill="1" applyAlignment="1">
      <alignment horizontal="center"/>
    </xf>
    <xf numFmtId="0" fontId="40" fillId="6" borderId="13" xfId="0" applyFont="1" applyFill="1" applyBorder="1" applyAlignment="1">
      <alignment horizontal="center"/>
    </xf>
    <xf numFmtId="0" fontId="12" fillId="8" borderId="61" xfId="0" applyFont="1" applyFill="1" applyBorder="1" applyAlignment="1">
      <alignment horizontal="center"/>
    </xf>
    <xf numFmtId="0" fontId="42" fillId="16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64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10" fontId="46" fillId="2" borderId="43" xfId="0" applyNumberFormat="1" applyFont="1" applyFill="1" applyBorder="1" applyAlignment="1">
      <alignment horizontal="right"/>
    </xf>
    <xf numFmtId="174" fontId="46" fillId="2" borderId="43" xfId="0" applyNumberFormat="1" applyFont="1" applyFill="1" applyBorder="1" applyAlignment="1">
      <alignment horizontal="right"/>
    </xf>
    <xf numFmtId="10" fontId="46" fillId="19" borderId="43" xfId="0" applyNumberFormat="1" applyFont="1" applyFill="1" applyBorder="1" applyAlignment="1">
      <alignment horizontal="right"/>
    </xf>
    <xf numFmtId="4" fontId="46" fillId="2" borderId="43" xfId="0" applyNumberFormat="1" applyFont="1" applyFill="1" applyBorder="1" applyAlignment="1">
      <alignment horizontal="right"/>
    </xf>
    <xf numFmtId="10" fontId="46" fillId="0" borderId="43" xfId="0" applyNumberFormat="1" applyFont="1" applyBorder="1" applyAlignment="1">
      <alignment horizontal="right"/>
    </xf>
    <xf numFmtId="4" fontId="46" fillId="19" borderId="43" xfId="0" applyNumberFormat="1" applyFont="1" applyFill="1" applyBorder="1" applyAlignment="1">
      <alignment horizontal="right"/>
    </xf>
    <xf numFmtId="176" fontId="46" fillId="19" borderId="43" xfId="0" applyNumberFormat="1" applyFont="1" applyFill="1" applyBorder="1" applyAlignment="1">
      <alignment horizontal="right"/>
    </xf>
    <xf numFmtId="0" fontId="1" fillId="16" borderId="68" xfId="0" applyFont="1" applyFill="1" applyBorder="1"/>
    <xf numFmtId="0" fontId="0" fillId="0" borderId="0" xfId="0" applyBorder="1"/>
    <xf numFmtId="0" fontId="30" fillId="0" borderId="18" xfId="0" applyFont="1" applyBorder="1"/>
    <xf numFmtId="0" fontId="3" fillId="16" borderId="68" xfId="0" applyFont="1" applyFill="1" applyBorder="1" applyAlignment="1">
      <alignment horizontal="center" vertical="center" wrapText="1"/>
    </xf>
    <xf numFmtId="0" fontId="1" fillId="0" borderId="0" xfId="0" applyFont="1" applyBorder="1"/>
    <xf numFmtId="10" fontId="31" fillId="0" borderId="18" xfId="0" applyNumberFormat="1" applyFont="1" applyBorder="1"/>
    <xf numFmtId="0" fontId="0" fillId="0" borderId="68" xfId="0" applyBorder="1"/>
    <xf numFmtId="0" fontId="0" fillId="0" borderId="70" xfId="0" applyBorder="1"/>
    <xf numFmtId="174" fontId="31" fillId="0" borderId="71" xfId="0" applyNumberFormat="1" applyFont="1" applyBorder="1"/>
    <xf numFmtId="0" fontId="0" fillId="0" borderId="71" xfId="0" applyBorder="1"/>
    <xf numFmtId="0" fontId="11" fillId="22" borderId="13" xfId="0" applyFont="1" applyFill="1" applyBorder="1" applyAlignment="1">
      <alignment horizontal="center"/>
    </xf>
    <xf numFmtId="0" fontId="11" fillId="22" borderId="14" xfId="0" applyFont="1" applyFill="1" applyBorder="1" applyAlignment="1">
      <alignment horizontal="center"/>
    </xf>
    <xf numFmtId="0" fontId="11" fillId="22" borderId="16" xfId="0" applyFont="1" applyFill="1" applyBorder="1" applyAlignment="1">
      <alignment horizontal="center"/>
    </xf>
    <xf numFmtId="0" fontId="32" fillId="23" borderId="0" xfId="0" applyFont="1" applyFill="1"/>
    <xf numFmtId="0" fontId="30" fillId="24" borderId="0" xfId="0" applyFont="1" applyFill="1"/>
    <xf numFmtId="174" fontId="30" fillId="24" borderId="0" xfId="0" applyNumberFormat="1" applyFont="1" applyFill="1"/>
    <xf numFmtId="0" fontId="0" fillId="25" borderId="0" xfId="0" applyFill="1"/>
    <xf numFmtId="0" fontId="30" fillId="25" borderId="0" xfId="0" applyFont="1" applyFill="1" applyAlignment="1">
      <alignment horizontal="left"/>
    </xf>
    <xf numFmtId="174" fontId="31" fillId="25" borderId="0" xfId="0" applyNumberFormat="1" applyFont="1" applyFill="1" applyAlignment="1">
      <alignment horizontal="right"/>
    </xf>
    <xf numFmtId="0" fontId="32" fillId="26" borderId="0" xfId="0" applyFont="1" applyFill="1"/>
    <xf numFmtId="0" fontId="30" fillId="25" borderId="0" xfId="0" applyFont="1" applyFill="1"/>
    <xf numFmtId="174" fontId="31" fillId="25" borderId="0" xfId="0" applyNumberFormat="1" applyFont="1" applyFill="1"/>
    <xf numFmtId="0" fontId="6" fillId="27" borderId="0" xfId="0" applyFont="1" applyFill="1" applyAlignment="1">
      <alignment horizontal="center" vertical="center"/>
    </xf>
    <xf numFmtId="0" fontId="47" fillId="27" borderId="0" xfId="0" applyFont="1" applyFill="1" applyAlignment="1">
      <alignment horizontal="center"/>
    </xf>
    <xf numFmtId="0" fontId="48" fillId="27" borderId="0" xfId="0" applyFont="1" applyFill="1" applyAlignment="1">
      <alignment horizontal="center"/>
    </xf>
    <xf numFmtId="166" fontId="49" fillId="28" borderId="0" xfId="0" applyNumberFormat="1" applyFont="1" applyFill="1" applyAlignment="1">
      <alignment horizontal="center"/>
    </xf>
    <xf numFmtId="0" fontId="0" fillId="27" borderId="0" xfId="0" applyFill="1"/>
    <xf numFmtId="4" fontId="0" fillId="27" borderId="0" xfId="0" applyNumberFormat="1" applyFill="1"/>
    <xf numFmtId="0" fontId="0" fillId="29" borderId="0" xfId="0" applyFill="1"/>
    <xf numFmtId="4" fontId="0" fillId="29" borderId="0" xfId="0" applyNumberFormat="1" applyFill="1"/>
    <xf numFmtId="166" fontId="50" fillId="30" borderId="0" xfId="0" applyNumberFormat="1" applyFont="1" applyFill="1" applyAlignment="1">
      <alignment horizontal="center"/>
    </xf>
    <xf numFmtId="0" fontId="0" fillId="31" borderId="0" xfId="0" applyFill="1"/>
    <xf numFmtId="4" fontId="0" fillId="31" borderId="0" xfId="0" applyNumberFormat="1" applyFill="1"/>
    <xf numFmtId="0" fontId="0" fillId="32" borderId="0" xfId="0" applyFill="1"/>
    <xf numFmtId="167" fontId="0" fillId="32" borderId="0" xfId="0" applyNumberFormat="1" applyFill="1"/>
    <xf numFmtId="1" fontId="0" fillId="32" borderId="0" xfId="0" applyNumberFormat="1" applyFill="1"/>
    <xf numFmtId="168" fontId="0" fillId="32" borderId="0" xfId="0" applyNumberFormat="1" applyFill="1"/>
    <xf numFmtId="0" fontId="0" fillId="33" borderId="0" xfId="0" applyFill="1"/>
    <xf numFmtId="4" fontId="0" fillId="33" borderId="0" xfId="0" applyNumberFormat="1" applyFill="1"/>
    <xf numFmtId="0" fontId="0" fillId="34" borderId="0" xfId="0" applyFill="1"/>
    <xf numFmtId="4" fontId="0" fillId="34" borderId="0" xfId="0" applyNumberFormat="1" applyFill="1"/>
    <xf numFmtId="0" fontId="21" fillId="34" borderId="1" xfId="0" applyFont="1" applyFill="1" applyBorder="1" applyAlignment="1">
      <alignment horizontal="center" vertical="center" wrapText="1"/>
    </xf>
    <xf numFmtId="0" fontId="21" fillId="34" borderId="5" xfId="0" applyFont="1" applyFill="1" applyBorder="1" applyAlignment="1">
      <alignment horizontal="center" vertical="center" wrapText="1"/>
    </xf>
  </cellXfs>
  <cellStyles count="3">
    <cellStyle name="Comma 2" xfId="1" xr:uid="{00000000-0005-0000-0000-000006000000}"/>
    <cellStyle name="Comma 3" xfId="2" xr:uid="{00000000-0005-0000-0000-000007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0E0E0"/>
      <rgbColor rgb="FFFF00FF"/>
      <rgbColor rgb="FF00FFFF"/>
      <rgbColor rgb="FFC00000"/>
      <rgbColor rgb="FF008000"/>
      <rgbColor rgb="FF000080"/>
      <rgbColor rgb="FF808000"/>
      <rgbColor rgb="FF800080"/>
      <rgbColor rgb="FF44546A"/>
      <rgbColor rgb="FFBFBFBF"/>
      <rgbColor rgb="FFA8A8A8"/>
      <rgbColor rgb="FFA5A5A5"/>
      <rgbColor rgb="FF993366"/>
      <rgbColor rgb="FFECECEC"/>
      <rgbColor rgb="FFDEEBF7"/>
      <rgbColor rgb="FF660066"/>
      <rgbColor rgb="FFD6DCE5"/>
      <rgbColor rgb="FF1F4E79"/>
      <rgbColor rgb="FFB4C7E7"/>
      <rgbColor rgb="FF000080"/>
      <rgbColor rgb="FFFF00FF"/>
      <rgbColor rgb="FFDDDDDD"/>
      <rgbColor rgb="FF00FFFF"/>
      <rgbColor rgb="FF800080"/>
      <rgbColor rgb="FF800000"/>
      <rgbColor rgb="FF008080"/>
      <rgbColor rgb="FF0000FF"/>
      <rgbColor rgb="FF00CCFF"/>
      <rgbColor rgb="FFD6E4F0"/>
      <rgbColor rgb="FFE2F0D9"/>
      <rgbColor rgb="FFFFE699"/>
      <rgbColor rgb="FFD0CECE"/>
      <rgbColor rgb="FFAAAAAA"/>
      <rgbColor rgb="FFAFABAB"/>
      <rgbColor rgb="FFF8CBAD"/>
      <rgbColor rgb="FF4472C4"/>
      <rgbColor rgb="FF3ECDF4"/>
      <rgbColor rgb="FFC5E0B3"/>
      <rgbColor rgb="FFD9D9D9"/>
      <rgbColor rgb="FFDAE3F3"/>
      <rgbColor rgb="FFED7D31"/>
      <rgbColor rgb="FF595959"/>
      <rgbColor rgb="FF9A9696"/>
      <rgbColor rgb="FF002060"/>
      <rgbColor rgb="FF339966"/>
      <rgbColor rgb="FF1C3158"/>
      <rgbColor rgb="FF375623"/>
      <rgbColor rgb="FF993300"/>
      <rgbColor rgb="FF993366"/>
      <rgbColor rgb="FF203864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WACC!$F$14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WACC!$E$15:$E$16</c:f>
              <c:strCache>
                <c:ptCount val="2"/>
                <c:pt idx="0">
                  <c:v>Total Debt (INR Cr)</c:v>
                </c:pt>
                <c:pt idx="1">
                  <c:v>Total Equity (INR Cr)</c:v>
                </c:pt>
              </c:strCache>
            </c:strRef>
          </c:cat>
          <c:val>
            <c:numRef>
              <c:f>WACC!$F$15:$F$16</c:f>
              <c:numCache>
                <c:formatCode>#,##0.00</c:formatCode>
                <c:ptCount val="2"/>
                <c:pt idx="0">
                  <c:v>378.72</c:v>
                </c:pt>
                <c:pt idx="1">
                  <c:v>7423.29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B-4F3D-842C-A426BC26A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ratios forcasted'!$A$17</c:f>
              <c:strCache>
                <c:ptCount val="1"/>
                <c:pt idx="0">
                  <c:v>ROE (%)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'all ratios forcasted'!$B$4:$J$4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'all ratios forcasted'!$B$17:$J$17</c:f>
              <c:numCache>
                <c:formatCode>General</c:formatCode>
                <c:ptCount val="9"/>
                <c:pt idx="0">
                  <c:v>0.23950735606348733</c:v>
                </c:pt>
                <c:pt idx="1">
                  <c:v>0.21445931845366867</c:v>
                </c:pt>
                <c:pt idx="2">
                  <c:v>0.22535164423595569</c:v>
                </c:pt>
                <c:pt idx="3">
                  <c:v>0.19076716657977802</c:v>
                </c:pt>
                <c:pt idx="4">
                  <c:v>8.1825191755797083E-5</c:v>
                </c:pt>
                <c:pt idx="5">
                  <c:v>2.2880725188729505E-8</c:v>
                </c:pt>
                <c:pt idx="6" formatCode="0.00000E+00">
                  <c:v>-2.0059312412931315E-11</c:v>
                </c:pt>
                <c:pt idx="7">
                  <c:v>-8.8259593175305048E-14</c:v>
                </c:pt>
                <c:pt idx="8">
                  <c:v>-2.5491344955001299E-16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9-47EF-A3EA-56A4F81A9DED}"/>
            </c:ext>
          </c:extLst>
        </c:ser>
        <c:ser>
          <c:idx val="1"/>
          <c:order val="1"/>
          <c:tx>
            <c:strRef>
              <c:f>'all ratios forcasted'!$A$18</c:f>
              <c:strCache>
                <c:ptCount val="1"/>
                <c:pt idx="0">
                  <c:v>ROCE (%)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'all ratios forcasted'!$B$4:$J$4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'all ratios forcasted'!$B$18:$J$18</c:f>
              <c:numCache>
                <c:formatCode>General</c:formatCode>
                <c:ptCount val="9"/>
                <c:pt idx="0">
                  <c:v>0.42414193148042434</c:v>
                </c:pt>
                <c:pt idx="1">
                  <c:v>0.39749991405686008</c:v>
                </c:pt>
                <c:pt idx="2">
                  <c:v>0.41266842595161785</c:v>
                </c:pt>
                <c:pt idx="3">
                  <c:v>0.39516703080575549</c:v>
                </c:pt>
                <c:pt idx="4">
                  <c:v>0.35302078802452785</c:v>
                </c:pt>
                <c:pt idx="5">
                  <c:v>0.38148890075366593</c:v>
                </c:pt>
                <c:pt idx="6">
                  <c:v>0.41775559177183585</c:v>
                </c:pt>
                <c:pt idx="7">
                  <c:v>0.46607525335358163</c:v>
                </c:pt>
                <c:pt idx="8">
                  <c:v>0.53449676011430691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9-47EF-A3EA-56A4F81A9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3360"/>
        <c:axId val="23565573"/>
      </c:barChart>
      <c:catAx>
        <c:axId val="77533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3565573"/>
        <c:crosses val="autoZero"/>
        <c:auto val="1"/>
        <c:lblAlgn val="ctr"/>
        <c:lblOffset val="100"/>
        <c:noMultiLvlLbl val="0"/>
      </c:catAx>
      <c:valAx>
        <c:axId val="235655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53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'all ratios forcasted'!$A$32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'all ratios forcasted'!$B$3:$J$4</c:f>
              <c:multiLvlStrCache>
                <c:ptCount val="9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2029</c:v>
                  </c:pt>
                  <c:pt idx="8">
                    <c:v>2030</c:v>
                  </c:pt>
                </c:lvl>
                <c:lvl>
                  <c:pt idx="0">
                    <c:v>previous year</c:v>
                  </c:pt>
                  <c:pt idx="4">
                    <c:v>Forcasted year</c:v>
                  </c:pt>
                </c:lvl>
              </c:multiLvlStrCache>
            </c:multiLvlStrRef>
          </c:cat>
          <c:val>
            <c:numRef>
              <c:f>'all ratios forcasted'!$B$32:$J$32</c:f>
              <c:numCache>
                <c:formatCode>General</c:formatCode>
                <c:ptCount val="9"/>
                <c:pt idx="0">
                  <c:v>1.2613205815999395</c:v>
                </c:pt>
                <c:pt idx="1">
                  <c:v>1.2468628678413085</c:v>
                </c:pt>
                <c:pt idx="2">
                  <c:v>1.1777294197726944</c:v>
                </c:pt>
                <c:pt idx="3">
                  <c:v>1.1530807856098646</c:v>
                </c:pt>
                <c:pt idx="4">
                  <c:v>1.2048436487576515</c:v>
                </c:pt>
                <c:pt idx="5">
                  <c:v>1.2591676896764916</c:v>
                </c:pt>
                <c:pt idx="6">
                  <c:v>1.3161826631609312</c:v>
                </c:pt>
                <c:pt idx="7">
                  <c:v>1.3760251132253931</c:v>
                </c:pt>
                <c:pt idx="8">
                  <c:v>1.438838731113889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5-441D-A8B0-F166F39A1AC7}"/>
            </c:ext>
          </c:extLst>
        </c:ser>
        <c:ser>
          <c:idx val="1"/>
          <c:order val="1"/>
          <c:tx>
            <c:strRef>
              <c:f>'all ratios forcasted'!$A$33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'all ratios forcasted'!$B$3:$J$4</c:f>
              <c:multiLvlStrCache>
                <c:ptCount val="9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2028</c:v>
                  </c:pt>
                  <c:pt idx="7">
                    <c:v>2029</c:v>
                  </c:pt>
                  <c:pt idx="8">
                    <c:v>2030</c:v>
                  </c:pt>
                </c:lvl>
                <c:lvl>
                  <c:pt idx="0">
                    <c:v>previous year</c:v>
                  </c:pt>
                  <c:pt idx="4">
                    <c:v>Forcasted year</c:v>
                  </c:pt>
                </c:lvl>
              </c:multiLvlStrCache>
            </c:multiLvlStrRef>
          </c:cat>
          <c:val>
            <c:numRef>
              <c:f>'all ratios forcasted'!$B$33:$J$33</c:f>
              <c:numCache>
                <c:formatCode>General</c:formatCode>
                <c:ptCount val="9"/>
                <c:pt idx="0">
                  <c:v>0.95957959638503953</c:v>
                </c:pt>
                <c:pt idx="1">
                  <c:v>0.84767951114804052</c:v>
                </c:pt>
                <c:pt idx="2">
                  <c:v>0.8119311491954323</c:v>
                </c:pt>
                <c:pt idx="3">
                  <c:v>0.76578656694569025</c:v>
                </c:pt>
                <c:pt idx="4">
                  <c:v>0.7448619889404704</c:v>
                </c:pt>
                <c:pt idx="5">
                  <c:v>0.72450916027585699</c:v>
                </c:pt>
                <c:pt idx="6">
                  <c:v>0.704712458304244</c:v>
                </c:pt>
                <c:pt idx="7">
                  <c:v>0.68545668725585585</c:v>
                </c:pt>
                <c:pt idx="8">
                  <c:v>0.666727066574612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85-441D-A8B0-F166F39A1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53711"/>
        <c:axId val="82384164"/>
      </c:barChart>
      <c:catAx>
        <c:axId val="413537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2384164"/>
        <c:crosses val="autoZero"/>
        <c:auto val="1"/>
        <c:lblAlgn val="ctr"/>
        <c:lblOffset val="100"/>
        <c:noMultiLvlLbl val="0"/>
      </c:catAx>
      <c:valAx>
        <c:axId val="823841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13537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'key ratio forcasted'!$A$3</c:f>
              <c:strCache>
                <c:ptCount val="1"/>
                <c:pt idx="0">
                  <c:v>INR Cr.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'key ratio forcasted'!$B$3:$F$3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A-4CD1-B59E-9A377B1A7176}"/>
            </c:ext>
          </c:extLst>
        </c:ser>
        <c:ser>
          <c:idx val="1"/>
          <c:order val="1"/>
          <c:tx>
            <c:strRef>
              <c:f>'key ratio forcasted'!$A$4</c:f>
              <c:strCache>
                <c:ptCount val="1"/>
                <c:pt idx="0">
                  <c:v>Operating Income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'key ratio forcasted'!$B$4:$F$4</c:f>
              <c:numCache>
                <c:formatCode>#,##0.0</c:formatCode>
                <c:ptCount val="5"/>
                <c:pt idx="0">
                  <c:v>1625.9091438061637</c:v>
                </c:pt>
                <c:pt idx="1">
                  <c:v>1642.8425360707693</c:v>
                </c:pt>
                <c:pt idx="2">
                  <c:v>1653.2650303543887</c:v>
                </c:pt>
                <c:pt idx="3">
                  <c:v>1655.9549762103088</c:v>
                </c:pt>
                <c:pt idx="4">
                  <c:v>1649.5121003567122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A-4CD1-B59E-9A377B1A7176}"/>
            </c:ext>
          </c:extLst>
        </c:ser>
        <c:ser>
          <c:idx val="2"/>
          <c:order val="2"/>
          <c:tx>
            <c:strRef>
              <c:f>'key ratio forcasted'!$A$5</c:f>
              <c:strCache>
                <c:ptCount val="1"/>
                <c:pt idx="0">
                  <c:v>EBIT Growth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'key ratio forcasted'!$B$5:$F$5</c:f>
              <c:numCache>
                <c:formatCode>0.00%</c:formatCode>
                <c:ptCount val="5"/>
                <c:pt idx="0">
                  <c:v>-0.15353383252664832</c:v>
                </c:pt>
                <c:pt idx="1">
                  <c:v>1.041472232880457E-2</c:v>
                </c:pt>
                <c:pt idx="2">
                  <c:v>6.3441833619351197E-3</c:v>
                </c:pt>
                <c:pt idx="3">
                  <c:v>1.627050597775892E-3</c:v>
                </c:pt>
                <c:pt idx="4">
                  <c:v>-3.8907312977441758E-3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A-4CD1-B59E-9A377B1A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2371"/>
        <c:axId val="59157772"/>
      </c:barChart>
      <c:catAx>
        <c:axId val="106523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9157772"/>
        <c:crosses val="autoZero"/>
        <c:auto val="1"/>
        <c:lblAlgn val="ctr"/>
        <c:lblOffset val="100"/>
        <c:noMultiLvlLbl val="0"/>
      </c:catAx>
      <c:valAx>
        <c:axId val="591577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06523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'key ratio forcasted'!$A$10</c:f>
              <c:strCache>
                <c:ptCount val="1"/>
                <c:pt idx="0">
                  <c:v>EPS Growth (%)</c:v>
                </c:pt>
              </c:strCache>
            </c:strRef>
          </c:tx>
          <c:spPr>
            <a:ln w="2844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'key ratio forcasted'!$B$3:$F$3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'key ratio forcasted'!$B$10:$F$10</c:f>
              <c:numCache>
                <c:formatCode>0.00%</c:formatCode>
                <c:ptCount val="5"/>
                <c:pt idx="0">
                  <c:v>1.1346625012545828E-3</c:v>
                </c:pt>
                <c:pt idx="1">
                  <c:v>-0.33737741965074797</c:v>
                </c:pt>
                <c:pt idx="2">
                  <c:v>-3.0774673808235771</c:v>
                </c:pt>
                <c:pt idx="3">
                  <c:v>9.4263869095658137</c:v>
                </c:pt>
                <c:pt idx="4">
                  <c:v>5.8441384572425097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4-443B-8378-3FF0212452E9}"/>
            </c:ext>
          </c:extLst>
        </c:ser>
        <c:ser>
          <c:idx val="1"/>
          <c:order val="1"/>
          <c:tx>
            <c:strRef>
              <c:f>'key ratio forcasted'!$A$12</c:f>
              <c:strCache>
                <c:ptCount val="1"/>
                <c:pt idx="0">
                  <c:v>ROCE (%)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'key ratio forcasted'!$B$3:$F$3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'key ratio forcasted'!$B$12:$F$12</c:f>
              <c:numCache>
                <c:formatCode>0.00%</c:formatCode>
                <c:ptCount val="5"/>
                <c:pt idx="0">
                  <c:v>0.35302078802452785</c:v>
                </c:pt>
                <c:pt idx="1">
                  <c:v>0.38148890075366593</c:v>
                </c:pt>
                <c:pt idx="2">
                  <c:v>0.41775559177183585</c:v>
                </c:pt>
                <c:pt idx="3">
                  <c:v>0.46607525335358163</c:v>
                </c:pt>
                <c:pt idx="4">
                  <c:v>0.53449676011430691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4-443B-8378-3FF021245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373097"/>
        <c:axId val="15632033"/>
      </c:lineChart>
      <c:catAx>
        <c:axId val="123730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5632033"/>
        <c:crosses val="autoZero"/>
        <c:auto val="1"/>
        <c:lblAlgn val="ctr"/>
        <c:lblOffset val="100"/>
        <c:noMultiLvlLbl val="0"/>
      </c:catAx>
      <c:valAx>
        <c:axId val="156320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23730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5</xdr:row>
      <xdr:rowOff>7620</xdr:rowOff>
    </xdr:from>
    <xdr:to>
      <xdr:col>12</xdr:col>
      <xdr:colOff>106680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A5495-A16C-5420-3A47-5116B368B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297360</xdr:colOff>
      <xdr:row>2</xdr:row>
      <xdr:rowOff>141120</xdr:rowOff>
    </xdr:from>
    <xdr:to>
      <xdr:col>18</xdr:col>
      <xdr:colOff>113760</xdr:colOff>
      <xdr:row>17</xdr:row>
      <xdr:rowOff>132840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274320</xdr:colOff>
      <xdr:row>17</xdr:row>
      <xdr:rowOff>102960</xdr:rowOff>
    </xdr:from>
    <xdr:to>
      <xdr:col>18</xdr:col>
      <xdr:colOff>90720</xdr:colOff>
      <xdr:row>32</xdr:row>
      <xdr:rowOff>102240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449640</xdr:colOff>
      <xdr:row>0</xdr:row>
      <xdr:rowOff>201960</xdr:rowOff>
    </xdr:from>
    <xdr:to>
      <xdr:col>14</xdr:col>
      <xdr:colOff>265680</xdr:colOff>
      <xdr:row>15</xdr:row>
      <xdr:rowOff>132480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586800</xdr:colOff>
      <xdr:row>16</xdr:row>
      <xdr:rowOff>23040</xdr:rowOff>
    </xdr:from>
    <xdr:to>
      <xdr:col>13</xdr:col>
      <xdr:colOff>441000</xdr:colOff>
      <xdr:row>29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zoomScale="90" zoomScaleNormal="90" workbookViewId="0">
      <selection sqref="A1:J1"/>
    </sheetView>
  </sheetViews>
  <sheetFormatPr defaultColWidth="8.6640625" defaultRowHeight="14.4"/>
  <cols>
    <col min="1" max="1" width="35.5546875" style="13" customWidth="1"/>
    <col min="2" max="2" width="24.77734375" customWidth="1"/>
    <col min="3" max="3" width="11.21875" customWidth="1"/>
    <col min="4" max="4" width="12.33203125" customWidth="1"/>
    <col min="5" max="5" width="12.109375" customWidth="1"/>
    <col min="6" max="6" width="11.33203125" customWidth="1"/>
    <col min="7" max="7" width="12.33203125" customWidth="1"/>
    <col min="8" max="9" width="12.44140625" customWidth="1"/>
    <col min="10" max="10" width="12" customWidth="1"/>
    <col min="11" max="11" width="12.77734375" customWidth="1"/>
  </cols>
  <sheetData>
    <row r="1" spans="1:11" ht="13.5" customHeight="1">
      <c r="A1" s="341" t="s">
        <v>0</v>
      </c>
      <c r="B1" s="341"/>
      <c r="C1" s="341"/>
      <c r="D1" s="341"/>
      <c r="E1" s="341"/>
      <c r="F1" s="341"/>
      <c r="G1" s="341"/>
      <c r="H1" s="341"/>
      <c r="I1" s="341"/>
      <c r="J1" s="341"/>
      <c r="K1" s="15"/>
    </row>
    <row r="2" spans="1:11" ht="14.25" customHeight="1">
      <c r="A2" s="14" t="s">
        <v>1</v>
      </c>
      <c r="B2" s="14">
        <v>202503</v>
      </c>
      <c r="C2" s="14">
        <v>202403</v>
      </c>
      <c r="D2" s="14">
        <v>202303</v>
      </c>
      <c r="E2" s="14">
        <v>202203</v>
      </c>
      <c r="F2" s="14">
        <v>202103</v>
      </c>
      <c r="G2" s="14">
        <v>202003</v>
      </c>
      <c r="H2" s="14">
        <v>201903</v>
      </c>
      <c r="I2" s="14">
        <v>201803</v>
      </c>
      <c r="J2" s="14">
        <v>201703</v>
      </c>
      <c r="K2" s="14">
        <v>201603</v>
      </c>
    </row>
    <row r="3" spans="1:11" ht="14.25" customHeight="1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27" customHeight="1">
      <c r="A4" s="16" t="s">
        <v>3</v>
      </c>
      <c r="B4" s="18">
        <v>10.77</v>
      </c>
      <c r="C4" s="18">
        <v>15.35</v>
      </c>
      <c r="D4" s="18">
        <v>10.47</v>
      </c>
      <c r="E4" s="18">
        <v>7.01</v>
      </c>
      <c r="F4" s="18">
        <v>-21.75</v>
      </c>
      <c r="G4" s="18">
        <v>-20.239999999999998</v>
      </c>
      <c r="H4" s="18">
        <v>57.8</v>
      </c>
      <c r="I4" s="18">
        <v>-1.25</v>
      </c>
      <c r="J4" s="18">
        <v>24.41</v>
      </c>
      <c r="K4" s="18">
        <v>13.49</v>
      </c>
    </row>
    <row r="5" spans="1:11" ht="14.25" customHeight="1">
      <c r="A5" s="16" t="s">
        <v>4</v>
      </c>
      <c r="B5" s="19">
        <v>1622.97</v>
      </c>
      <c r="C5" s="19">
        <v>1653.33</v>
      </c>
      <c r="D5" s="19">
        <v>1561.91</v>
      </c>
      <c r="E5" s="19">
        <v>1319.95</v>
      </c>
      <c r="F5" s="19">
        <v>1704.17</v>
      </c>
      <c r="G5" s="19">
        <v>1154.77</v>
      </c>
      <c r="H5" s="19">
        <v>1123.57</v>
      </c>
      <c r="I5" s="18">
        <v>816.41</v>
      </c>
      <c r="J5" s="18">
        <v>926.94</v>
      </c>
      <c r="K5" s="18">
        <v>960.3</v>
      </c>
    </row>
    <row r="6" spans="1:11" ht="27" customHeight="1">
      <c r="A6" s="16" t="s">
        <v>5</v>
      </c>
      <c r="B6" s="18">
        <v>1808.34</v>
      </c>
      <c r="C6" s="18">
        <v>1966.7</v>
      </c>
      <c r="D6" s="18">
        <v>1828.67</v>
      </c>
      <c r="E6" s="18">
        <v>1896.31</v>
      </c>
      <c r="F6" s="18">
        <v>1683.31</v>
      </c>
      <c r="G6" s="18">
        <v>1408.47</v>
      </c>
      <c r="H6" s="18">
        <v>1503.35</v>
      </c>
      <c r="I6" s="18">
        <v>1373.13</v>
      </c>
      <c r="J6" s="18">
        <v>1294.3499999999999</v>
      </c>
      <c r="K6" s="18">
        <v>1209.3499999999999</v>
      </c>
    </row>
    <row r="7" spans="1:11" ht="14.25" customHeight="1">
      <c r="A7" s="16" t="s">
        <v>6</v>
      </c>
      <c r="B7" s="18">
        <v>250.93</v>
      </c>
      <c r="C7" s="18">
        <v>208.86</v>
      </c>
      <c r="D7" s="18">
        <v>188.29</v>
      </c>
      <c r="E7" s="18">
        <v>160.38999999999999</v>
      </c>
      <c r="F7" s="18">
        <v>143.4</v>
      </c>
      <c r="G7" s="18">
        <v>129.93</v>
      </c>
      <c r="H7" s="18">
        <v>108.83</v>
      </c>
      <c r="I7" s="18">
        <v>102.5</v>
      </c>
      <c r="J7" s="18">
        <v>75.430000000000007</v>
      </c>
      <c r="K7" s="18">
        <v>72.83</v>
      </c>
    </row>
    <row r="8" spans="1:11" ht="14.25" customHeight="1">
      <c r="A8" s="16" t="s">
        <v>7</v>
      </c>
      <c r="B8" s="18">
        <v>-205.45</v>
      </c>
      <c r="C8" s="18">
        <v>-236.1</v>
      </c>
      <c r="D8" s="18">
        <v>-251.66</v>
      </c>
      <c r="E8" s="18">
        <v>-248.27</v>
      </c>
      <c r="F8" s="18">
        <v>-213.09</v>
      </c>
      <c r="G8" s="18">
        <v>-196.35</v>
      </c>
      <c r="H8" s="18">
        <v>-202.77</v>
      </c>
      <c r="I8" s="18">
        <v>-200.44</v>
      </c>
      <c r="J8" s="18">
        <v>-187.91</v>
      </c>
      <c r="K8" s="18">
        <v>-151.07</v>
      </c>
    </row>
    <row r="9" spans="1:11" ht="14.25" customHeight="1">
      <c r="A9" s="16" t="s">
        <v>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</row>
    <row r="10" spans="1:11" ht="14.25" customHeight="1">
      <c r="A10" s="16" t="s">
        <v>9</v>
      </c>
      <c r="B10" s="18">
        <v>1.27</v>
      </c>
      <c r="C10" s="18">
        <v>1.34</v>
      </c>
      <c r="D10" s="18">
        <v>-16.53</v>
      </c>
      <c r="E10" s="18">
        <v>0.68</v>
      </c>
      <c r="F10" s="18">
        <v>-0.33</v>
      </c>
      <c r="G10" s="18">
        <v>1.76</v>
      </c>
      <c r="H10" s="18">
        <v>-0.89</v>
      </c>
      <c r="I10" s="18">
        <v>-2.42</v>
      </c>
      <c r="J10" s="18">
        <v>0.86</v>
      </c>
      <c r="K10" s="18">
        <v>-3.78</v>
      </c>
    </row>
    <row r="11" spans="1:11" ht="14.25" customHeight="1">
      <c r="A11" s="16" t="s">
        <v>10</v>
      </c>
      <c r="B11" s="18">
        <v>0</v>
      </c>
      <c r="C11" s="18">
        <v>0</v>
      </c>
      <c r="D11" s="18">
        <v>0</v>
      </c>
      <c r="E11" s="18">
        <v>0</v>
      </c>
      <c r="F11" s="18">
        <v>-0.42</v>
      </c>
      <c r="G11" s="18">
        <v>0</v>
      </c>
      <c r="H11" s="18">
        <v>0</v>
      </c>
      <c r="I11" s="18">
        <v>0</v>
      </c>
      <c r="J11" s="18">
        <v>0</v>
      </c>
      <c r="K11" s="18">
        <v>-21.53</v>
      </c>
    </row>
    <row r="12" spans="1:11" ht="14.25" customHeight="1">
      <c r="A12" s="16" t="s">
        <v>11</v>
      </c>
      <c r="B12" s="18">
        <v>13.25</v>
      </c>
      <c r="C12" s="18">
        <v>25.67</v>
      </c>
      <c r="D12" s="18">
        <v>9.73</v>
      </c>
      <c r="E12" s="18">
        <v>-8.6999999999999993</v>
      </c>
      <c r="F12" s="18">
        <v>22.82</v>
      </c>
      <c r="G12" s="18">
        <v>14.98</v>
      </c>
      <c r="H12" s="18">
        <v>11.44</v>
      </c>
      <c r="I12" s="18">
        <v>14.87</v>
      </c>
      <c r="J12" s="18">
        <v>9.4600000000000009</v>
      </c>
      <c r="K12" s="18">
        <v>7.38</v>
      </c>
    </row>
    <row r="13" spans="1:11" ht="14.25" customHeight="1">
      <c r="A13" s="16" t="s">
        <v>12</v>
      </c>
      <c r="B13" s="18">
        <v>2.57</v>
      </c>
      <c r="C13" s="18">
        <v>-0.02</v>
      </c>
      <c r="D13" s="18">
        <v>0.05</v>
      </c>
      <c r="E13" s="18">
        <v>-1.24</v>
      </c>
      <c r="F13" s="18">
        <v>1.1100000000000001</v>
      </c>
      <c r="G13" s="18">
        <v>-3.7</v>
      </c>
      <c r="H13" s="18">
        <v>2.93</v>
      </c>
      <c r="I13" s="18">
        <v>1.77</v>
      </c>
      <c r="J13" s="18">
        <v>0.87</v>
      </c>
      <c r="K13" s="18">
        <v>2.14</v>
      </c>
    </row>
    <row r="14" spans="1:11" ht="14.25" customHeight="1">
      <c r="A14" s="16" t="s">
        <v>13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</row>
    <row r="15" spans="1:11" ht="14.25" customHeight="1">
      <c r="A15" s="16" t="s">
        <v>14</v>
      </c>
      <c r="B15" s="18">
        <v>-91.82</v>
      </c>
      <c r="C15" s="18">
        <v>-12.13</v>
      </c>
      <c r="D15" s="18">
        <v>54.28</v>
      </c>
      <c r="E15" s="18">
        <v>14</v>
      </c>
      <c r="F15" s="18">
        <v>7.41</v>
      </c>
      <c r="G15" s="18">
        <v>109.68</v>
      </c>
      <c r="H15" s="18">
        <v>55.07</v>
      </c>
      <c r="I15" s="18">
        <v>-18.63</v>
      </c>
      <c r="J15" s="18">
        <v>-46.19</v>
      </c>
      <c r="K15" s="18">
        <v>45</v>
      </c>
    </row>
    <row r="16" spans="1:11" ht="27" customHeight="1">
      <c r="A16" s="16" t="s">
        <v>15</v>
      </c>
      <c r="B16" s="18">
        <v>-29.25</v>
      </c>
      <c r="C16" s="18">
        <v>-12.38</v>
      </c>
      <c r="D16" s="18">
        <v>-15.84</v>
      </c>
      <c r="E16" s="18">
        <v>-83.14</v>
      </c>
      <c r="F16" s="18">
        <v>-39.1</v>
      </c>
      <c r="G16" s="18">
        <v>56.3</v>
      </c>
      <c r="H16" s="18">
        <v>-25.39</v>
      </c>
      <c r="I16" s="18">
        <v>-102.35</v>
      </c>
      <c r="J16" s="18">
        <v>-147.47999999999999</v>
      </c>
      <c r="K16" s="18">
        <v>-49.03</v>
      </c>
    </row>
    <row r="17" spans="1:11" ht="14.25" customHeight="1">
      <c r="A17" s="16" t="s">
        <v>16</v>
      </c>
      <c r="B17" s="18">
        <v>1779.09</v>
      </c>
      <c r="C17" s="18">
        <v>1954.32</v>
      </c>
      <c r="D17" s="18">
        <v>1812.83</v>
      </c>
      <c r="E17" s="18">
        <v>1813.17</v>
      </c>
      <c r="F17" s="18">
        <v>1644.21</v>
      </c>
      <c r="G17" s="18">
        <v>1464.77</v>
      </c>
      <c r="H17" s="18">
        <v>1477.96</v>
      </c>
      <c r="I17" s="18">
        <v>1270.78</v>
      </c>
      <c r="J17" s="18">
        <v>1146.8699999999999</v>
      </c>
      <c r="K17" s="18">
        <v>1160.32</v>
      </c>
    </row>
    <row r="18" spans="1:11" ht="14.25" customHeight="1">
      <c r="A18" s="16" t="s">
        <v>17</v>
      </c>
      <c r="B18" s="18">
        <v>115.22</v>
      </c>
      <c r="C18" s="18">
        <v>-158.16999999999999</v>
      </c>
      <c r="D18" s="18">
        <v>-113.54</v>
      </c>
      <c r="E18" s="18">
        <v>-176</v>
      </c>
      <c r="F18" s="18">
        <v>94.27</v>
      </c>
      <c r="G18" s="18">
        <v>53.94</v>
      </c>
      <c r="H18" s="18">
        <v>-112.39</v>
      </c>
      <c r="I18" s="18">
        <v>10.82</v>
      </c>
      <c r="J18" s="18">
        <v>87.43</v>
      </c>
      <c r="K18" s="18">
        <v>-78.59</v>
      </c>
    </row>
    <row r="19" spans="1:11" ht="14.25" customHeight="1">
      <c r="A19" s="16" t="s">
        <v>18</v>
      </c>
      <c r="B19" s="18">
        <v>-138.19</v>
      </c>
      <c r="C19" s="18">
        <v>73.89</v>
      </c>
      <c r="D19" s="18">
        <v>14.19</v>
      </c>
      <c r="E19" s="18">
        <v>-123.8</v>
      </c>
      <c r="F19" s="18">
        <v>-305.02</v>
      </c>
      <c r="G19" s="18">
        <v>-76.239999999999995</v>
      </c>
      <c r="H19" s="18">
        <v>-28.1</v>
      </c>
      <c r="I19" s="18">
        <v>-105.52</v>
      </c>
      <c r="J19" s="18">
        <v>16.28</v>
      </c>
      <c r="K19" s="18">
        <v>-64.95</v>
      </c>
    </row>
    <row r="20" spans="1:11" ht="14.25" customHeight="1">
      <c r="A20" s="16" t="s">
        <v>19</v>
      </c>
      <c r="B20" s="18">
        <v>282.45</v>
      </c>
      <c r="C20" s="18">
        <v>240.2</v>
      </c>
      <c r="D20" s="18">
        <v>237.83</v>
      </c>
      <c r="E20" s="18">
        <v>100.66</v>
      </c>
      <c r="F20" s="18">
        <v>448.92</v>
      </c>
      <c r="G20" s="18">
        <v>33.4</v>
      </c>
      <c r="H20" s="18">
        <v>37.75</v>
      </c>
      <c r="I20" s="18">
        <v>31.57</v>
      </c>
      <c r="J20" s="18">
        <v>-24.18</v>
      </c>
      <c r="K20" s="18">
        <v>204.25</v>
      </c>
    </row>
    <row r="21" spans="1:11" ht="14.25" customHeight="1">
      <c r="A21" s="16" t="s">
        <v>14</v>
      </c>
      <c r="B21" s="18">
        <v>-87.93</v>
      </c>
      <c r="C21" s="18">
        <v>-66.58</v>
      </c>
      <c r="D21" s="18">
        <v>42.95</v>
      </c>
      <c r="E21" s="18">
        <v>34.369999999999997</v>
      </c>
      <c r="F21" s="18">
        <v>96.39</v>
      </c>
      <c r="G21" s="18">
        <v>-52.16</v>
      </c>
      <c r="H21" s="18">
        <v>67.91</v>
      </c>
      <c r="I21" s="18">
        <v>-90.17</v>
      </c>
      <c r="J21" s="18">
        <v>-24.96</v>
      </c>
      <c r="K21" s="18">
        <v>0</v>
      </c>
    </row>
    <row r="22" spans="1:11" ht="14.25" customHeight="1">
      <c r="A22" s="16" t="s">
        <v>20</v>
      </c>
      <c r="B22" s="18">
        <v>171.55</v>
      </c>
      <c r="C22" s="18">
        <v>89.34</v>
      </c>
      <c r="D22" s="18">
        <v>181.43</v>
      </c>
      <c r="E22" s="18">
        <v>-164.77</v>
      </c>
      <c r="F22" s="18">
        <v>334.56</v>
      </c>
      <c r="G22" s="18">
        <v>-41.06</v>
      </c>
      <c r="H22" s="18">
        <v>-34.83</v>
      </c>
      <c r="I22" s="18">
        <v>-153.30000000000001</v>
      </c>
      <c r="J22" s="18">
        <v>54.57</v>
      </c>
      <c r="K22" s="18">
        <v>60.71</v>
      </c>
    </row>
    <row r="23" spans="1:11" ht="14.25" customHeight="1">
      <c r="A23" s="16" t="s">
        <v>21</v>
      </c>
      <c r="B23" s="18">
        <v>1950.64</v>
      </c>
      <c r="C23" s="18">
        <v>2043.66</v>
      </c>
      <c r="D23" s="18">
        <v>1994.26</v>
      </c>
      <c r="E23" s="18">
        <v>1648.4</v>
      </c>
      <c r="F23" s="18">
        <v>1978.77</v>
      </c>
      <c r="G23" s="18">
        <v>1423.71</v>
      </c>
      <c r="H23" s="18">
        <v>1443.13</v>
      </c>
      <c r="I23" s="18">
        <v>1117.48</v>
      </c>
      <c r="J23" s="18">
        <v>1201.44</v>
      </c>
      <c r="K23" s="18">
        <v>1221.03</v>
      </c>
    </row>
    <row r="24" spans="1:11" ht="14.25" customHeight="1">
      <c r="A24" s="16" t="s">
        <v>22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</row>
    <row r="25" spans="1:11" ht="14.25" customHeight="1">
      <c r="A25" s="16" t="s">
        <v>23</v>
      </c>
      <c r="B25" s="18">
        <v>-327.67</v>
      </c>
      <c r="C25" s="18">
        <v>-390.33</v>
      </c>
      <c r="D25" s="18">
        <v>-432.35</v>
      </c>
      <c r="E25" s="18">
        <v>-328.45</v>
      </c>
      <c r="F25" s="18">
        <v>-274.60000000000002</v>
      </c>
      <c r="G25" s="18">
        <v>-268.94</v>
      </c>
      <c r="H25" s="18">
        <v>-319.56</v>
      </c>
      <c r="I25" s="18">
        <v>-301.07</v>
      </c>
      <c r="J25" s="18">
        <v>-274.5</v>
      </c>
      <c r="K25" s="18">
        <v>-260.73</v>
      </c>
    </row>
    <row r="26" spans="1:11" ht="14.25" customHeight="1">
      <c r="A26" s="16" t="s">
        <v>24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</row>
    <row r="27" spans="1:11" ht="14.25" customHeight="1">
      <c r="A27" s="16" t="s">
        <v>14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</row>
    <row r="28" spans="1:11" ht="14.25" customHeight="1">
      <c r="A28" s="16" t="s">
        <v>25</v>
      </c>
      <c r="B28" s="18">
        <v>-327.67</v>
      </c>
      <c r="C28" s="18">
        <v>-390.33</v>
      </c>
      <c r="D28" s="18">
        <v>-432.35</v>
      </c>
      <c r="E28" s="18">
        <v>-328.45</v>
      </c>
      <c r="F28" s="18">
        <v>-274.60000000000002</v>
      </c>
      <c r="G28" s="18">
        <v>-268.94</v>
      </c>
      <c r="H28" s="18">
        <v>-319.56</v>
      </c>
      <c r="I28" s="18">
        <v>-301.07</v>
      </c>
      <c r="J28" s="18">
        <v>-274.5</v>
      </c>
      <c r="K28" s="18">
        <v>-260.73</v>
      </c>
    </row>
    <row r="29" spans="1:11" ht="14.25" customHeight="1">
      <c r="A29" s="16" t="s">
        <v>26</v>
      </c>
      <c r="B29" s="18">
        <v>1622.97</v>
      </c>
      <c r="C29" s="18">
        <v>1653.33</v>
      </c>
      <c r="D29" s="18">
        <v>1561.91</v>
      </c>
      <c r="E29" s="18">
        <v>1319.95</v>
      </c>
      <c r="F29" s="18">
        <v>1704.17</v>
      </c>
      <c r="G29" s="18">
        <v>1154.77</v>
      </c>
      <c r="H29" s="18">
        <v>1123.57</v>
      </c>
      <c r="I29" s="18">
        <v>816.41</v>
      </c>
      <c r="J29" s="18">
        <v>926.94</v>
      </c>
      <c r="K29" s="18">
        <v>960.3</v>
      </c>
    </row>
    <row r="30" spans="1:11" ht="14.25" customHeight="1">
      <c r="A30" s="16" t="s">
        <v>27</v>
      </c>
      <c r="B30" s="18">
        <v>-98.9</v>
      </c>
      <c r="C30" s="18">
        <v>-736.09</v>
      </c>
      <c r="D30" s="18">
        <v>-617.20000000000005</v>
      </c>
      <c r="E30" s="18">
        <v>-681.7</v>
      </c>
      <c r="F30" s="19">
        <v>-1120.3699999999999</v>
      </c>
      <c r="G30" s="18">
        <v>-330.28</v>
      </c>
      <c r="H30" s="18">
        <v>417.78</v>
      </c>
      <c r="I30" s="18">
        <v>-261.18</v>
      </c>
      <c r="J30" s="18">
        <v>-678.94</v>
      </c>
      <c r="K30" s="18">
        <v>-494.33</v>
      </c>
    </row>
    <row r="31" spans="1:11" ht="14.25" customHeight="1">
      <c r="A31" s="16" t="s">
        <v>28</v>
      </c>
      <c r="B31" s="18">
        <v>-351.78</v>
      </c>
      <c r="C31" s="18">
        <v>-456.55</v>
      </c>
      <c r="D31" s="18">
        <v>-410.05</v>
      </c>
      <c r="E31" s="18">
        <v>-296.77</v>
      </c>
      <c r="F31" s="18">
        <v>-249.9</v>
      </c>
      <c r="G31" s="18">
        <v>-264.54000000000002</v>
      </c>
      <c r="H31" s="18">
        <v>-125.28</v>
      </c>
      <c r="I31" s="18">
        <v>-110.74</v>
      </c>
      <c r="J31" s="18">
        <v>-411.12</v>
      </c>
      <c r="K31" s="18">
        <v>-106.84</v>
      </c>
    </row>
    <row r="32" spans="1:11" ht="14.25" customHeight="1">
      <c r="A32" s="16" t="s">
        <v>29</v>
      </c>
      <c r="B32" s="18">
        <v>1.88</v>
      </c>
      <c r="C32" s="18">
        <v>0.93</v>
      </c>
      <c r="D32" s="18">
        <v>21.38</v>
      </c>
      <c r="E32" s="18">
        <v>2.2200000000000002</v>
      </c>
      <c r="F32" s="18">
        <v>2.11</v>
      </c>
      <c r="G32" s="18">
        <v>11.52</v>
      </c>
      <c r="H32" s="18">
        <v>4.08</v>
      </c>
      <c r="I32" s="18">
        <v>11.71</v>
      </c>
      <c r="J32" s="18">
        <v>3.49</v>
      </c>
      <c r="K32" s="18">
        <v>9.4700000000000006</v>
      </c>
    </row>
    <row r="33" spans="1:11" ht="14.25" customHeight="1">
      <c r="A33" s="16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</row>
    <row r="34" spans="1:11" ht="14.25" customHeight="1">
      <c r="A34" s="16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</row>
    <row r="35" spans="1:11" ht="14.25" customHeight="1">
      <c r="A35" s="16" t="s">
        <v>32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</row>
    <row r="36" spans="1:11" ht="14.25" customHeight="1">
      <c r="A36" s="16" t="s">
        <v>33</v>
      </c>
      <c r="B36" s="18">
        <v>-5403.47</v>
      </c>
      <c r="C36" s="18">
        <v>-4229.13</v>
      </c>
      <c r="D36" s="18">
        <v>-3964.84</v>
      </c>
      <c r="E36" s="18">
        <v>-6241.33</v>
      </c>
      <c r="F36" s="18">
        <v>-7276.63</v>
      </c>
      <c r="G36" s="18">
        <v>-8123.69</v>
      </c>
      <c r="H36" s="18">
        <v>-5392.77</v>
      </c>
      <c r="I36" s="18">
        <v>-8701.24</v>
      </c>
      <c r="J36" s="18">
        <v>-8721.39</v>
      </c>
      <c r="K36" s="18">
        <v>-7135.71</v>
      </c>
    </row>
    <row r="37" spans="1:11" ht="14.25" customHeight="1">
      <c r="A37" s="16" t="s">
        <v>34</v>
      </c>
      <c r="B37" s="18">
        <v>5344.01</v>
      </c>
      <c r="C37" s="18">
        <v>3617.83</v>
      </c>
      <c r="D37" s="18">
        <v>3945.74</v>
      </c>
      <c r="E37" s="18">
        <v>5532.68</v>
      </c>
      <c r="F37" s="18">
        <v>6172.48</v>
      </c>
      <c r="G37" s="18">
        <v>7818.87</v>
      </c>
      <c r="H37" s="18">
        <v>5710.25</v>
      </c>
      <c r="I37" s="18">
        <v>8317.17</v>
      </c>
      <c r="J37" s="18">
        <v>8274.8700000000008</v>
      </c>
      <c r="K37" s="18">
        <v>6596.8</v>
      </c>
    </row>
    <row r="38" spans="1:11" ht="14.25" customHeight="1">
      <c r="A38" s="16" t="s">
        <v>35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</row>
    <row r="39" spans="1:11" ht="14.25" customHeight="1">
      <c r="A39" s="16" t="s">
        <v>36</v>
      </c>
      <c r="B39" s="18">
        <v>297.51</v>
      </c>
      <c r="C39" s="18">
        <v>316.57</v>
      </c>
      <c r="D39" s="18">
        <v>334.78</v>
      </c>
      <c r="E39" s="18">
        <v>320.41000000000003</v>
      </c>
      <c r="F39" s="18">
        <v>230.54</v>
      </c>
      <c r="G39" s="18">
        <v>226.3</v>
      </c>
      <c r="H39" s="18">
        <v>220.43</v>
      </c>
      <c r="I39" s="18">
        <v>220.72</v>
      </c>
      <c r="J39" s="18">
        <v>172.03</v>
      </c>
      <c r="K39" s="18">
        <v>138.63999999999999</v>
      </c>
    </row>
    <row r="40" spans="1:11" ht="14.25" customHeight="1">
      <c r="A40" s="16" t="s">
        <v>8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</row>
    <row r="41" spans="1:11" ht="14.25" customHeight="1">
      <c r="A41" s="16" t="s">
        <v>37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</row>
    <row r="42" spans="1:11" ht="14.25" customHeight="1">
      <c r="A42" s="16" t="s">
        <v>38</v>
      </c>
      <c r="B42" s="18">
        <v>0</v>
      </c>
      <c r="C42" s="18">
        <v>0</v>
      </c>
      <c r="D42" s="18">
        <v>-64.260000000000005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</row>
    <row r="43" spans="1:11" ht="14.25" customHeight="1">
      <c r="A43" s="16" t="s">
        <v>39</v>
      </c>
      <c r="B43" s="18">
        <v>0</v>
      </c>
      <c r="C43" s="18">
        <v>0</v>
      </c>
      <c r="D43" s="18">
        <v>-481.32</v>
      </c>
      <c r="E43" s="18">
        <v>-0.01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</row>
    <row r="44" spans="1:11" ht="14.25" customHeight="1">
      <c r="A44" s="16" t="s">
        <v>40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</row>
    <row r="45" spans="1:11" ht="14.25" customHeight="1">
      <c r="A45" s="16" t="s">
        <v>14</v>
      </c>
      <c r="B45" s="18">
        <v>12.95</v>
      </c>
      <c r="C45" s="18">
        <v>14.26</v>
      </c>
      <c r="D45" s="18">
        <v>1.37</v>
      </c>
      <c r="E45" s="18">
        <v>1.1000000000000001</v>
      </c>
      <c r="F45" s="18">
        <v>1.03</v>
      </c>
      <c r="G45" s="18">
        <v>1.26</v>
      </c>
      <c r="H45" s="18">
        <v>1.07</v>
      </c>
      <c r="I45" s="18">
        <v>1.2</v>
      </c>
      <c r="J45" s="18">
        <v>3.18</v>
      </c>
      <c r="K45" s="18">
        <v>3.31</v>
      </c>
    </row>
    <row r="46" spans="1:11" ht="14.25" customHeight="1">
      <c r="A46" s="16" t="s">
        <v>41</v>
      </c>
      <c r="B46" s="19">
        <v>-1510.68</v>
      </c>
      <c r="C46" s="18">
        <v>-921.82</v>
      </c>
      <c r="D46" s="18">
        <v>-939.83</v>
      </c>
      <c r="E46" s="18">
        <v>-634.79</v>
      </c>
      <c r="F46" s="18">
        <v>-555.04</v>
      </c>
      <c r="G46" s="18">
        <v>-826</v>
      </c>
      <c r="H46" s="19">
        <v>-1619.39</v>
      </c>
      <c r="I46" s="18">
        <v>-496.18</v>
      </c>
      <c r="J46" s="18">
        <v>-273.66000000000003</v>
      </c>
      <c r="K46" s="18">
        <v>-455.04</v>
      </c>
    </row>
    <row r="47" spans="1:11" ht="27" customHeight="1">
      <c r="A47" s="16" t="s">
        <v>42</v>
      </c>
      <c r="B47" s="18">
        <v>0.03</v>
      </c>
      <c r="C47" s="18">
        <v>0.03</v>
      </c>
      <c r="D47" s="18">
        <v>0.39</v>
      </c>
      <c r="E47" s="18">
        <v>0.05</v>
      </c>
      <c r="F47" s="18">
        <v>0.03</v>
      </c>
      <c r="G47" s="18">
        <v>0.08</v>
      </c>
      <c r="H47" s="18">
        <v>0.48</v>
      </c>
      <c r="I47" s="18">
        <v>0</v>
      </c>
      <c r="J47" s="18">
        <v>14.87</v>
      </c>
      <c r="K47" s="18">
        <v>17.059999999999999</v>
      </c>
    </row>
    <row r="48" spans="1:11" ht="14.25" customHeight="1">
      <c r="A48" s="16" t="s">
        <v>43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</row>
    <row r="49" spans="1:11" ht="14.25" customHeight="1">
      <c r="A49" s="16" t="s">
        <v>44</v>
      </c>
      <c r="B49" s="18">
        <v>0</v>
      </c>
      <c r="C49" s="18">
        <v>248.86</v>
      </c>
      <c r="D49" s="18">
        <v>0</v>
      </c>
      <c r="E49" s="18">
        <v>248.95</v>
      </c>
      <c r="F49" s="18">
        <v>0</v>
      </c>
      <c r="G49" s="18">
        <v>0</v>
      </c>
      <c r="H49" s="18">
        <v>0.02</v>
      </c>
      <c r="I49" s="18">
        <v>0.4</v>
      </c>
      <c r="J49" s="18">
        <v>200</v>
      </c>
      <c r="K49" s="18">
        <v>0</v>
      </c>
    </row>
    <row r="50" spans="1:11" ht="14.25" customHeight="1">
      <c r="A50" s="16" t="s">
        <v>45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</row>
    <row r="51" spans="1:11" ht="14.25" customHeight="1">
      <c r="A51" s="16" t="s">
        <v>46</v>
      </c>
      <c r="B51" s="18">
        <v>37.94</v>
      </c>
      <c r="C51" s="18">
        <v>142.69999999999999</v>
      </c>
      <c r="D51" s="18">
        <v>45.89</v>
      </c>
      <c r="E51" s="18">
        <v>114.28</v>
      </c>
      <c r="F51" s="18">
        <v>82.94</v>
      </c>
      <c r="G51" s="18">
        <v>0</v>
      </c>
      <c r="H51" s="18">
        <v>3.15</v>
      </c>
      <c r="I51" s="18">
        <v>0</v>
      </c>
      <c r="J51" s="18">
        <v>0</v>
      </c>
      <c r="K51" s="18">
        <v>0</v>
      </c>
    </row>
    <row r="52" spans="1:11" ht="14.25" customHeight="1">
      <c r="A52" s="16" t="s">
        <v>47</v>
      </c>
      <c r="B52" s="18">
        <v>-249.51</v>
      </c>
      <c r="C52" s="18">
        <v>0</v>
      </c>
      <c r="D52" s="18">
        <v>0</v>
      </c>
      <c r="E52" s="18">
        <v>0</v>
      </c>
      <c r="F52" s="18">
        <v>-25</v>
      </c>
      <c r="G52" s="18">
        <v>-175</v>
      </c>
      <c r="H52" s="18">
        <v>0</v>
      </c>
      <c r="I52" s="18">
        <v>0</v>
      </c>
      <c r="J52" s="18">
        <v>0</v>
      </c>
      <c r="K52" s="18">
        <v>0</v>
      </c>
    </row>
    <row r="53" spans="1:11" ht="14.25" customHeight="1">
      <c r="A53" s="16" t="s">
        <v>48</v>
      </c>
      <c r="B53" s="18">
        <v>-201.55</v>
      </c>
      <c r="C53" s="18">
        <v>-251.47</v>
      </c>
      <c r="D53" s="18">
        <v>0</v>
      </c>
      <c r="E53" s="18">
        <v>0</v>
      </c>
      <c r="F53" s="18">
        <v>0</v>
      </c>
      <c r="G53" s="18">
        <v>-3.93</v>
      </c>
      <c r="H53" s="18">
        <v>0</v>
      </c>
      <c r="I53" s="18">
        <v>-1.97</v>
      </c>
      <c r="J53" s="18">
        <v>-1.4</v>
      </c>
      <c r="K53" s="18">
        <v>-46.2</v>
      </c>
    </row>
    <row r="54" spans="1:11" ht="14.25" customHeight="1">
      <c r="A54" s="16" t="s">
        <v>49</v>
      </c>
      <c r="B54" s="18">
        <v>-17.649999999999999</v>
      </c>
      <c r="C54" s="18">
        <v>-32.130000000000003</v>
      </c>
      <c r="D54" s="18">
        <v>-19.100000000000001</v>
      </c>
      <c r="E54" s="18">
        <v>-12.74</v>
      </c>
      <c r="F54" s="18">
        <v>-12.15</v>
      </c>
      <c r="G54" s="18">
        <v>-11.06</v>
      </c>
      <c r="H54" s="18">
        <v>0</v>
      </c>
      <c r="I54" s="18">
        <v>0</v>
      </c>
      <c r="J54" s="18">
        <v>0</v>
      </c>
      <c r="K54" s="18">
        <v>0</v>
      </c>
    </row>
    <row r="55" spans="1:11" ht="14.25" customHeight="1">
      <c r="A55" s="16" t="s">
        <v>50</v>
      </c>
      <c r="B55" s="18">
        <v>-974.78</v>
      </c>
      <c r="C55" s="18">
        <v>-965.76</v>
      </c>
      <c r="D55" s="18">
        <v>-921.31</v>
      </c>
      <c r="E55" s="18">
        <v>-972.32</v>
      </c>
      <c r="F55" s="18">
        <v>-592.09</v>
      </c>
      <c r="G55" s="18">
        <v>-512.45000000000005</v>
      </c>
      <c r="H55" s="18">
        <v>-1324.71</v>
      </c>
      <c r="I55" s="18">
        <v>-396.34</v>
      </c>
      <c r="J55" s="18">
        <v>-396.34</v>
      </c>
      <c r="K55" s="18">
        <v>-351.12</v>
      </c>
    </row>
    <row r="56" spans="1:11" ht="14.25" customHeight="1">
      <c r="A56" s="16" t="s">
        <v>51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</row>
    <row r="57" spans="1:11" ht="14.25" customHeight="1">
      <c r="A57" s="16" t="s">
        <v>52</v>
      </c>
      <c r="B57" s="18">
        <v>-105.16</v>
      </c>
      <c r="C57" s="18">
        <v>-64.05</v>
      </c>
      <c r="D57" s="18">
        <v>-45.7</v>
      </c>
      <c r="E57" s="18">
        <v>-13.01</v>
      </c>
      <c r="F57" s="18">
        <v>-8.77</v>
      </c>
      <c r="G57" s="18">
        <v>-18.309999999999999</v>
      </c>
      <c r="H57" s="18">
        <v>-26.03</v>
      </c>
      <c r="I57" s="18">
        <v>-17.579999999999998</v>
      </c>
      <c r="J57" s="18">
        <v>-10.1</v>
      </c>
      <c r="K57" s="18">
        <v>-3.2</v>
      </c>
    </row>
    <row r="58" spans="1:11" ht="14.25" customHeight="1">
      <c r="A58" s="16" t="s">
        <v>14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-105.33</v>
      </c>
      <c r="H58" s="18">
        <v>-272.3</v>
      </c>
      <c r="I58" s="18">
        <v>-80.69</v>
      </c>
      <c r="J58" s="18">
        <v>-80.69</v>
      </c>
      <c r="K58" s="18">
        <v>-71.58</v>
      </c>
    </row>
    <row r="59" spans="1:11" ht="14.25" customHeight="1">
      <c r="A59" s="16" t="s">
        <v>53</v>
      </c>
      <c r="B59" s="18">
        <v>13.39</v>
      </c>
      <c r="C59" s="18">
        <v>-4.58</v>
      </c>
      <c r="D59" s="18">
        <v>4.88</v>
      </c>
      <c r="E59" s="18">
        <v>3.46</v>
      </c>
      <c r="F59" s="18">
        <v>28.76</v>
      </c>
      <c r="G59" s="18">
        <v>-1.51</v>
      </c>
      <c r="H59" s="18">
        <v>-78.040000000000006</v>
      </c>
      <c r="I59" s="18">
        <v>59.05</v>
      </c>
      <c r="J59" s="18">
        <v>-25.66</v>
      </c>
      <c r="K59" s="18">
        <v>10.93</v>
      </c>
    </row>
    <row r="60" spans="1:11" ht="27" customHeight="1">
      <c r="A60" s="16" t="s">
        <v>54</v>
      </c>
      <c r="B60" s="18">
        <v>24.16</v>
      </c>
      <c r="C60" s="18">
        <v>10.77</v>
      </c>
      <c r="D60" s="18">
        <v>15.35</v>
      </c>
      <c r="E60" s="18">
        <v>10.47</v>
      </c>
      <c r="F60" s="18">
        <v>7.01</v>
      </c>
      <c r="G60" s="18">
        <v>-21.75</v>
      </c>
      <c r="H60" s="18">
        <v>-20.239999999999998</v>
      </c>
      <c r="I60" s="18">
        <v>57.8</v>
      </c>
      <c r="J60" s="18">
        <v>-1.25</v>
      </c>
      <c r="K60" s="18">
        <v>24.42</v>
      </c>
    </row>
    <row r="61" spans="1:11" ht="14.25" customHeight="1">
      <c r="A61" s="16"/>
      <c r="B61" s="18"/>
      <c r="C61" s="20"/>
      <c r="D61" s="20"/>
      <c r="E61" s="20"/>
      <c r="F61" s="20"/>
      <c r="G61" s="20"/>
      <c r="H61" s="20"/>
      <c r="I61" s="20"/>
      <c r="J61" s="20"/>
      <c r="K61" s="21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5"/>
  <sheetViews>
    <sheetView zoomScale="66" zoomScaleNormal="66" workbookViewId="0">
      <selection sqref="A1:I1"/>
    </sheetView>
  </sheetViews>
  <sheetFormatPr defaultColWidth="8.6640625" defaultRowHeight="14.4"/>
  <cols>
    <col min="1" max="1" width="22.5546875" customWidth="1"/>
  </cols>
  <sheetData>
    <row r="1" spans="1:11" ht="14.25" customHeight="1">
      <c r="A1" s="342" t="s">
        <v>55</v>
      </c>
      <c r="B1" s="342"/>
      <c r="C1" s="342"/>
      <c r="D1" s="342"/>
      <c r="E1" s="342"/>
      <c r="F1" s="342"/>
      <c r="G1" s="342"/>
      <c r="H1" s="342"/>
      <c r="I1" s="342"/>
      <c r="J1" s="22"/>
      <c r="K1" s="22"/>
    </row>
    <row r="2" spans="1:11" ht="14.25" customHeight="1">
      <c r="A2" s="14" t="s">
        <v>1</v>
      </c>
      <c r="B2" s="14">
        <v>201603</v>
      </c>
      <c r="C2" s="14">
        <v>201703</v>
      </c>
      <c r="D2" s="14">
        <v>201803</v>
      </c>
      <c r="E2" s="14">
        <v>201903</v>
      </c>
      <c r="F2" s="14">
        <v>202003</v>
      </c>
      <c r="G2" s="14">
        <v>202103</v>
      </c>
      <c r="H2" s="14">
        <v>202203</v>
      </c>
      <c r="I2" s="14">
        <v>202303</v>
      </c>
      <c r="J2" s="14">
        <v>202403</v>
      </c>
      <c r="K2" s="14">
        <v>202503</v>
      </c>
    </row>
    <row r="3" spans="1:11" ht="14.25" customHeight="1">
      <c r="A3" s="18" t="s">
        <v>56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4.25" customHeight="1">
      <c r="A4" s="18" t="s">
        <v>57</v>
      </c>
      <c r="B4" s="18">
        <v>175.91</v>
      </c>
      <c r="C4" s="18">
        <v>176.15</v>
      </c>
      <c r="D4" s="18">
        <v>176.15</v>
      </c>
      <c r="E4" s="18">
        <v>176.63</v>
      </c>
      <c r="F4" s="18">
        <v>176.71</v>
      </c>
      <c r="G4" s="18">
        <v>176.74</v>
      </c>
      <c r="H4" s="18">
        <v>176.79</v>
      </c>
      <c r="I4" s="18">
        <v>177.18</v>
      </c>
      <c r="J4" s="18">
        <v>177.2</v>
      </c>
      <c r="K4" s="18">
        <v>177.23</v>
      </c>
    </row>
    <row r="5" spans="1:11" ht="14.25" customHeight="1">
      <c r="A5" s="18" t="s">
        <v>58</v>
      </c>
      <c r="B5" s="19">
        <v>2918.38</v>
      </c>
      <c r="C5" s="19">
        <v>3481.73</v>
      </c>
      <c r="D5" s="19">
        <v>4050.71</v>
      </c>
      <c r="E5" s="19">
        <v>3792.19</v>
      </c>
      <c r="F5" s="19">
        <v>4397.5200000000004</v>
      </c>
      <c r="G5" s="19">
        <v>5214.4799999999996</v>
      </c>
      <c r="H5" s="19">
        <v>5687.08</v>
      </c>
      <c r="I5" s="19">
        <v>6109.7</v>
      </c>
      <c r="J5" s="19">
        <v>6738.17</v>
      </c>
      <c r="K5" s="19">
        <v>7246.06</v>
      </c>
    </row>
    <row r="6" spans="1:11" ht="14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14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 ht="14.25" customHeight="1">
      <c r="A8" s="18" t="s">
        <v>59</v>
      </c>
      <c r="B8" s="19">
        <v>3094.29</v>
      </c>
      <c r="C8" s="19">
        <v>3657.88</v>
      </c>
      <c r="D8" s="19">
        <v>4226.8599999999997</v>
      </c>
      <c r="E8" s="19">
        <v>3968.82</v>
      </c>
      <c r="F8" s="19">
        <v>4574.2299999999996</v>
      </c>
      <c r="G8" s="19">
        <v>5391.22</v>
      </c>
      <c r="H8" s="19">
        <v>5863.87</v>
      </c>
      <c r="I8" s="19">
        <v>6286.88</v>
      </c>
      <c r="J8" s="19">
        <v>6915.37</v>
      </c>
      <c r="K8" s="19">
        <v>7423.29</v>
      </c>
    </row>
    <row r="9" spans="1:11" ht="14.25" customHeight="1">
      <c r="A9" s="18" t="s">
        <v>60</v>
      </c>
      <c r="B9" s="18">
        <v>7.68</v>
      </c>
      <c r="C9" s="18">
        <v>209.07</v>
      </c>
      <c r="D9" s="18">
        <v>208.6</v>
      </c>
      <c r="E9" s="18">
        <v>227.73</v>
      </c>
      <c r="F9" s="18">
        <v>101.19</v>
      </c>
      <c r="G9" s="18">
        <v>26.94</v>
      </c>
      <c r="H9" s="18">
        <v>0</v>
      </c>
      <c r="I9" s="18">
        <v>177.76</v>
      </c>
      <c r="J9" s="18">
        <v>99.99</v>
      </c>
      <c r="K9" s="18">
        <v>0.1</v>
      </c>
    </row>
    <row r="10" spans="1:11" ht="14.25" customHeight="1">
      <c r="A10" s="18" t="s">
        <v>61</v>
      </c>
      <c r="B10" s="18">
        <v>79.55</v>
      </c>
      <c r="C10" s="18">
        <v>74.680000000000007</v>
      </c>
      <c r="D10" s="18">
        <v>78.010000000000005</v>
      </c>
      <c r="E10" s="18">
        <v>82.13</v>
      </c>
      <c r="F10" s="18">
        <v>49.46</v>
      </c>
      <c r="G10" s="18">
        <v>152.93</v>
      </c>
      <c r="H10" s="18">
        <v>560.17999999999995</v>
      </c>
      <c r="I10" s="18">
        <v>437.7</v>
      </c>
      <c r="J10" s="18">
        <v>675.97</v>
      </c>
      <c r="K10" s="18">
        <v>378.62</v>
      </c>
    </row>
    <row r="11" spans="1:11" ht="14.25" customHeight="1">
      <c r="A11" s="18" t="s">
        <v>62</v>
      </c>
      <c r="B11" s="18">
        <v>87.23</v>
      </c>
      <c r="C11" s="18">
        <v>283.75</v>
      </c>
      <c r="D11" s="18">
        <v>286.61</v>
      </c>
      <c r="E11" s="18">
        <v>309.86</v>
      </c>
      <c r="F11" s="18">
        <v>150.65</v>
      </c>
      <c r="G11" s="18">
        <v>179.87</v>
      </c>
      <c r="H11" s="18">
        <v>560.17999999999995</v>
      </c>
      <c r="I11" s="18">
        <v>615.46</v>
      </c>
      <c r="J11" s="18">
        <v>775.96</v>
      </c>
      <c r="K11" s="18">
        <v>378.72</v>
      </c>
    </row>
    <row r="12" spans="1:11" ht="14.25" customHeight="1">
      <c r="A12" s="18" t="s">
        <v>63</v>
      </c>
      <c r="B12" s="18">
        <v>49.99</v>
      </c>
      <c r="C12" s="18">
        <v>51.23</v>
      </c>
      <c r="D12" s="18">
        <v>54.29</v>
      </c>
      <c r="E12" s="18">
        <v>57.32</v>
      </c>
      <c r="F12" s="18">
        <v>59.35</v>
      </c>
      <c r="G12" s="18">
        <v>56.92</v>
      </c>
      <c r="H12" s="18">
        <v>60.82</v>
      </c>
      <c r="I12" s="18">
        <v>62.62</v>
      </c>
      <c r="J12" s="18">
        <v>65.63</v>
      </c>
      <c r="K12" s="18">
        <v>64.489999999999995</v>
      </c>
    </row>
    <row r="13" spans="1:11" ht="14.25" customHeight="1">
      <c r="A13" s="18" t="s">
        <v>64</v>
      </c>
      <c r="B13" s="19">
        <v>3231.51</v>
      </c>
      <c r="C13" s="19">
        <v>3992.86</v>
      </c>
      <c r="D13" s="19">
        <v>4567.76</v>
      </c>
      <c r="E13" s="19">
        <v>4336</v>
      </c>
      <c r="F13" s="19">
        <v>4784.2299999999996</v>
      </c>
      <c r="G13" s="19">
        <v>5628.01</v>
      </c>
      <c r="H13" s="19">
        <v>6484.87</v>
      </c>
      <c r="I13" s="19">
        <v>6964.96</v>
      </c>
      <c r="J13" s="19">
        <v>7756.96</v>
      </c>
      <c r="K13" s="19">
        <v>7866.5</v>
      </c>
    </row>
    <row r="14" spans="1:11" ht="14.25" customHeight="1">
      <c r="A14" s="18" t="s">
        <v>65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ht="14.25" customHeight="1">
      <c r="A15" s="18" t="s">
        <v>66</v>
      </c>
      <c r="B15" s="19">
        <v>1131.3399999999999</v>
      </c>
      <c r="C15" s="19">
        <v>1549.58</v>
      </c>
      <c r="D15" s="19">
        <v>1671.38</v>
      </c>
      <c r="E15" s="19">
        <v>1774.43</v>
      </c>
      <c r="F15" s="19">
        <v>1982.29</v>
      </c>
      <c r="G15" s="19">
        <v>2168.0300000000002</v>
      </c>
      <c r="H15" s="19">
        <v>2501.1</v>
      </c>
      <c r="I15" s="19">
        <v>2937.65</v>
      </c>
      <c r="J15" s="19">
        <v>3345.31</v>
      </c>
      <c r="K15" s="19">
        <v>3722.26</v>
      </c>
    </row>
    <row r="16" spans="1:11" ht="27" customHeight="1">
      <c r="A16" s="18" t="s">
        <v>67</v>
      </c>
      <c r="B16" s="18">
        <v>492.53</v>
      </c>
      <c r="C16" s="18">
        <v>556.25</v>
      </c>
      <c r="D16" s="18">
        <v>640.9</v>
      </c>
      <c r="E16" s="18">
        <v>737.81</v>
      </c>
      <c r="F16" s="18">
        <v>848.01</v>
      </c>
      <c r="G16" s="18">
        <v>963.22</v>
      </c>
      <c r="H16" s="19">
        <v>1102.0999999999999</v>
      </c>
      <c r="I16" s="19">
        <v>1275.68</v>
      </c>
      <c r="J16" s="19">
        <v>1467.11</v>
      </c>
      <c r="K16" s="19">
        <v>1686.64</v>
      </c>
    </row>
    <row r="17" spans="1:24" ht="14.25" customHeight="1">
      <c r="A17" s="18" t="s">
        <v>68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</row>
    <row r="18" spans="1:24" ht="14.25" customHeight="1">
      <c r="A18" s="18" t="s">
        <v>69</v>
      </c>
      <c r="B18" s="18">
        <v>638.80999999999995</v>
      </c>
      <c r="C18" s="18">
        <v>993.33</v>
      </c>
      <c r="D18" s="19">
        <v>1030.48</v>
      </c>
      <c r="E18" s="19">
        <v>1036.6199999999999</v>
      </c>
      <c r="F18" s="19">
        <v>1134.28</v>
      </c>
      <c r="G18" s="19">
        <v>1204.81</v>
      </c>
      <c r="H18" s="19">
        <v>1399</v>
      </c>
      <c r="I18" s="19">
        <v>1661.97</v>
      </c>
      <c r="J18" s="19">
        <v>1878.2</v>
      </c>
      <c r="K18" s="19">
        <v>2035.62</v>
      </c>
    </row>
    <row r="19" spans="1:24" ht="14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24" ht="14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24" ht="14.25" customHeight="1">
      <c r="A21" s="18" t="s">
        <v>70</v>
      </c>
      <c r="B21" s="18">
        <v>24.96</v>
      </c>
      <c r="C21" s="18">
        <v>28.25</v>
      </c>
      <c r="D21" s="18">
        <v>26.82</v>
      </c>
      <c r="E21" s="18">
        <v>21.69</v>
      </c>
      <c r="F21" s="18">
        <v>105.83</v>
      </c>
      <c r="G21" s="18">
        <v>107.26</v>
      </c>
      <c r="H21" s="18">
        <v>128.47999999999999</v>
      </c>
      <c r="I21" s="18">
        <v>109.43</v>
      </c>
      <c r="J21" s="18">
        <v>184.23</v>
      </c>
      <c r="K21" s="18">
        <v>136.88</v>
      </c>
    </row>
    <row r="22" spans="1:24" ht="14.25" customHeight="1">
      <c r="A22" s="18" t="s">
        <v>71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</row>
    <row r="23" spans="1:24" ht="14.25" customHeight="1">
      <c r="A23" s="18" t="s">
        <v>72</v>
      </c>
      <c r="B23" s="19">
        <v>2570.31</v>
      </c>
      <c r="C23" s="19">
        <v>3054.15</v>
      </c>
      <c r="D23" s="19">
        <v>3433.06</v>
      </c>
      <c r="E23" s="19">
        <v>2962.14</v>
      </c>
      <c r="F23" s="19">
        <v>2466.83</v>
      </c>
      <c r="G23" s="19">
        <v>3573.9</v>
      </c>
      <c r="H23" s="19">
        <v>5007.08</v>
      </c>
      <c r="I23" s="19">
        <v>5475.05</v>
      </c>
      <c r="J23" s="19">
        <v>6148.47</v>
      </c>
      <c r="K23" s="19">
        <v>6358.82</v>
      </c>
    </row>
    <row r="24" spans="1:24" ht="27" customHeight="1">
      <c r="A24" s="18" t="s">
        <v>73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24" ht="14.25" customHeight="1">
      <c r="A25" s="18" t="s">
        <v>74</v>
      </c>
      <c r="B25" s="18">
        <v>615.55999999999995</v>
      </c>
      <c r="C25" s="18">
        <v>599.27</v>
      </c>
      <c r="D25" s="18">
        <v>704.79</v>
      </c>
      <c r="E25" s="18">
        <v>732.9</v>
      </c>
      <c r="F25" s="18">
        <v>809.14</v>
      </c>
      <c r="G25" s="19">
        <v>1114.1600000000001</v>
      </c>
      <c r="H25" s="19">
        <v>1237.96</v>
      </c>
      <c r="I25" s="19">
        <v>1223.77</v>
      </c>
      <c r="J25" s="19">
        <v>1149.8800000000001</v>
      </c>
      <c r="K25" s="19">
        <v>1288.07</v>
      </c>
    </row>
    <row r="26" spans="1:24" ht="14.25" customHeight="1">
      <c r="A26" s="18" t="s">
        <v>75</v>
      </c>
      <c r="B26" s="18">
        <v>420.69</v>
      </c>
      <c r="C26" s="18">
        <v>333.25</v>
      </c>
      <c r="D26" s="18">
        <v>321.33999999999997</v>
      </c>
      <c r="E26" s="18">
        <v>431.46</v>
      </c>
      <c r="F26" s="18">
        <v>379.63</v>
      </c>
      <c r="G26" s="18">
        <v>281.24</v>
      </c>
      <c r="H26" s="18">
        <v>454.55</v>
      </c>
      <c r="I26" s="18">
        <v>561.17999999999995</v>
      </c>
      <c r="J26" s="18">
        <v>719.21</v>
      </c>
      <c r="K26" s="18">
        <v>600.58000000000004</v>
      </c>
    </row>
    <row r="27" spans="1:24" ht="14.25" customHeight="1">
      <c r="A27" s="18" t="s">
        <v>76</v>
      </c>
      <c r="B27" s="18">
        <v>55.63</v>
      </c>
      <c r="C27" s="18">
        <v>26.16</v>
      </c>
      <c r="D27" s="18">
        <v>87.02</v>
      </c>
      <c r="E27" s="18">
        <v>124.71</v>
      </c>
      <c r="F27" s="18">
        <v>525.6</v>
      </c>
      <c r="G27" s="18">
        <v>834.74</v>
      </c>
      <c r="H27" s="18">
        <v>136.18</v>
      </c>
      <c r="I27" s="18">
        <v>33.4</v>
      </c>
      <c r="J27" s="18">
        <v>71.11</v>
      </c>
      <c r="K27" s="18">
        <v>133.02000000000001</v>
      </c>
    </row>
    <row r="28" spans="1:24" ht="14.25" customHeight="1">
      <c r="A28" s="18" t="s">
        <v>77</v>
      </c>
      <c r="B28" s="18">
        <v>68.260000000000005</v>
      </c>
      <c r="C28" s="18">
        <v>91.81</v>
      </c>
      <c r="D28" s="18">
        <v>132.30000000000001</v>
      </c>
      <c r="E28" s="18">
        <v>109.88</v>
      </c>
      <c r="F28" s="18">
        <v>168.15</v>
      </c>
      <c r="G28" s="18">
        <v>148.71</v>
      </c>
      <c r="H28" s="18">
        <v>126.06</v>
      </c>
      <c r="I28" s="18">
        <v>140.4</v>
      </c>
      <c r="J28" s="18">
        <v>232</v>
      </c>
      <c r="K28" s="18">
        <v>280.07</v>
      </c>
    </row>
    <row r="29" spans="1:24" ht="15" customHeight="1">
      <c r="A29" s="18" t="s">
        <v>78</v>
      </c>
      <c r="B29" s="19">
        <v>1160.1400000000001</v>
      </c>
      <c r="C29" s="19">
        <v>1050.49</v>
      </c>
      <c r="D29" s="19">
        <v>1245.45</v>
      </c>
      <c r="E29" s="19">
        <v>1398.95</v>
      </c>
      <c r="F29" s="19">
        <v>1882.52</v>
      </c>
      <c r="G29" s="19">
        <v>2378.85</v>
      </c>
      <c r="H29" s="19">
        <v>1954.75</v>
      </c>
      <c r="I29" s="19">
        <v>1958.75</v>
      </c>
      <c r="J29" s="19">
        <v>2172.1999999999998</v>
      </c>
      <c r="K29" s="19">
        <v>2301.7399999999998</v>
      </c>
    </row>
    <row r="30" spans="1:24" ht="27.75" customHeight="1">
      <c r="A30" s="18" t="s">
        <v>79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U30" s="23">
        <v>1003.15</v>
      </c>
      <c r="V30" s="23">
        <v>971.62</v>
      </c>
      <c r="W30" s="23">
        <v>937.19</v>
      </c>
      <c r="X30" s="23">
        <v>789.76</v>
      </c>
    </row>
    <row r="31" spans="1:24" ht="15" customHeight="1">
      <c r="A31" s="18" t="s">
        <v>80</v>
      </c>
      <c r="B31" s="19">
        <v>1070.8499999999999</v>
      </c>
      <c r="C31" s="19">
        <v>1061.3699999999999</v>
      </c>
      <c r="D31" s="19">
        <v>1080.6199999999999</v>
      </c>
      <c r="E31" s="19">
        <v>1145.54</v>
      </c>
      <c r="F31" s="19">
        <v>1188.3800000000001</v>
      </c>
      <c r="G31" s="19">
        <v>1715.09</v>
      </c>
      <c r="H31" s="19">
        <v>1844.16</v>
      </c>
      <c r="I31" s="19">
        <v>2108.21</v>
      </c>
      <c r="J31" s="19">
        <v>2396.79</v>
      </c>
      <c r="K31" s="19">
        <v>2663.03</v>
      </c>
      <c r="U31" s="23">
        <v>998.32</v>
      </c>
      <c r="V31" s="23">
        <v>960.62</v>
      </c>
      <c r="W31" s="23">
        <v>914.52</v>
      </c>
      <c r="X31" s="23">
        <v>784.88</v>
      </c>
    </row>
    <row r="32" spans="1:24" ht="15" customHeight="1">
      <c r="A32" s="18" t="s">
        <v>81</v>
      </c>
      <c r="B32" s="18">
        <v>50.85</v>
      </c>
      <c r="C32" s="18">
        <v>64.510000000000005</v>
      </c>
      <c r="D32" s="18">
        <v>68.290000000000006</v>
      </c>
      <c r="E32" s="18">
        <v>88.92</v>
      </c>
      <c r="F32" s="18">
        <v>127.5</v>
      </c>
      <c r="G32" s="18">
        <v>161.06</v>
      </c>
      <c r="H32" s="18">
        <v>192.93</v>
      </c>
      <c r="I32" s="18">
        <v>202.51</v>
      </c>
      <c r="J32" s="18">
        <v>278.56</v>
      </c>
      <c r="K32" s="18">
        <v>342.69</v>
      </c>
      <c r="U32" s="23">
        <v>4.83</v>
      </c>
      <c r="V32" s="23">
        <v>11</v>
      </c>
      <c r="W32" s="23">
        <v>22.67</v>
      </c>
      <c r="X32" s="23">
        <v>4.88</v>
      </c>
    </row>
    <row r="33" spans="1:24" ht="15" customHeight="1">
      <c r="A33" s="18" t="s">
        <v>82</v>
      </c>
      <c r="B33" s="19">
        <v>1121.7</v>
      </c>
      <c r="C33" s="19">
        <v>1125.8800000000001</v>
      </c>
      <c r="D33" s="19">
        <v>1148.9100000000001</v>
      </c>
      <c r="E33" s="19">
        <v>1234.46</v>
      </c>
      <c r="F33" s="19">
        <v>1315.88</v>
      </c>
      <c r="G33" s="19">
        <v>1876.15</v>
      </c>
      <c r="H33" s="19">
        <v>2037.09</v>
      </c>
      <c r="I33" s="19">
        <v>2310.7199999999998</v>
      </c>
      <c r="J33" s="19">
        <v>2675.35</v>
      </c>
      <c r="K33" s="19">
        <v>3005.72</v>
      </c>
      <c r="U33" s="23">
        <v>0</v>
      </c>
      <c r="V33" s="23">
        <v>0</v>
      </c>
      <c r="W33" s="23">
        <v>0</v>
      </c>
      <c r="X33" s="23">
        <v>0</v>
      </c>
    </row>
    <row r="34" spans="1:24" ht="15" customHeight="1">
      <c r="A34" s="18" t="s">
        <v>83</v>
      </c>
      <c r="B34" s="18">
        <v>38.44</v>
      </c>
      <c r="C34" s="18">
        <v>-75.39</v>
      </c>
      <c r="D34" s="18">
        <v>96.54</v>
      </c>
      <c r="E34" s="18">
        <v>164.49</v>
      </c>
      <c r="F34" s="18">
        <v>566.64</v>
      </c>
      <c r="G34" s="18">
        <v>502.7</v>
      </c>
      <c r="H34" s="18">
        <v>-82.34</v>
      </c>
      <c r="I34" s="18">
        <v>-351.97</v>
      </c>
      <c r="J34" s="18">
        <v>-503.15</v>
      </c>
      <c r="K34" s="18">
        <v>-703.98</v>
      </c>
      <c r="U34" s="23">
        <v>0</v>
      </c>
      <c r="V34" s="23">
        <v>0</v>
      </c>
      <c r="W34" s="23">
        <v>0</v>
      </c>
      <c r="X34" s="23">
        <v>0</v>
      </c>
    </row>
    <row r="35" spans="1:24" ht="1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U35" s="23">
        <v>0</v>
      </c>
      <c r="V35" s="23">
        <v>0</v>
      </c>
      <c r="W35" s="23">
        <v>0</v>
      </c>
      <c r="X35" s="23">
        <v>146.46</v>
      </c>
    </row>
    <row r="36" spans="1:24" ht="15" customHeight="1">
      <c r="A36" s="18" t="s">
        <v>84</v>
      </c>
      <c r="B36" s="18">
        <v>13.22</v>
      </c>
      <c r="C36" s="18">
        <v>5.79</v>
      </c>
      <c r="D36" s="18">
        <v>17.8</v>
      </c>
      <c r="E36" s="18">
        <v>102.61</v>
      </c>
      <c r="F36" s="18">
        <v>151.29</v>
      </c>
      <c r="G36" s="18">
        <v>148.94999999999999</v>
      </c>
      <c r="H36" s="18">
        <v>78.319999999999993</v>
      </c>
      <c r="I36" s="18">
        <v>100.24</v>
      </c>
      <c r="J36" s="18">
        <v>103.66</v>
      </c>
      <c r="K36" s="18">
        <v>89.68</v>
      </c>
      <c r="U36" s="23">
        <v>0</v>
      </c>
      <c r="V36" s="23">
        <v>0</v>
      </c>
      <c r="W36" s="23">
        <v>0</v>
      </c>
      <c r="X36" s="23">
        <v>0</v>
      </c>
    </row>
    <row r="37" spans="1:24" ht="15" customHeight="1">
      <c r="A37" s="18" t="s">
        <v>85</v>
      </c>
      <c r="B37" s="18">
        <v>89.74</v>
      </c>
      <c r="C37" s="18">
        <v>104.07</v>
      </c>
      <c r="D37" s="18">
        <v>113.83</v>
      </c>
      <c r="E37" s="18">
        <v>110.93</v>
      </c>
      <c r="F37" s="18">
        <v>129.66999999999999</v>
      </c>
      <c r="G37" s="18">
        <v>131.5</v>
      </c>
      <c r="H37" s="18">
        <v>148.36000000000001</v>
      </c>
      <c r="I37" s="18">
        <v>177</v>
      </c>
      <c r="J37" s="18">
        <v>204.16</v>
      </c>
      <c r="K37" s="18">
        <v>222.93</v>
      </c>
      <c r="U37" s="23">
        <v>0</v>
      </c>
      <c r="V37" s="23">
        <v>0</v>
      </c>
      <c r="W37" s="23">
        <v>0</v>
      </c>
      <c r="X37" s="23">
        <v>0</v>
      </c>
    </row>
    <row r="38" spans="1:24" ht="15" customHeight="1">
      <c r="A38" s="18" t="s">
        <v>86</v>
      </c>
      <c r="B38" s="18">
        <v>-76.52</v>
      </c>
      <c r="C38" s="18">
        <v>-98.28</v>
      </c>
      <c r="D38" s="18">
        <v>-96.03</v>
      </c>
      <c r="E38" s="18">
        <v>-8.32</v>
      </c>
      <c r="F38" s="18">
        <v>21.62</v>
      </c>
      <c r="G38" s="18">
        <v>17.45</v>
      </c>
      <c r="H38" s="18">
        <v>-70.040000000000006</v>
      </c>
      <c r="I38" s="18">
        <v>-76.760000000000005</v>
      </c>
      <c r="J38" s="18">
        <v>-100.5</v>
      </c>
      <c r="K38" s="18">
        <v>-133.25</v>
      </c>
      <c r="U38" s="23">
        <v>0</v>
      </c>
      <c r="V38" s="23">
        <v>0</v>
      </c>
      <c r="W38" s="23">
        <v>0</v>
      </c>
      <c r="X38" s="23">
        <v>0</v>
      </c>
    </row>
    <row r="39" spans="1:24" ht="15" customHeight="1">
      <c r="A39" s="18" t="s">
        <v>87</v>
      </c>
      <c r="B39" s="18">
        <v>35.51</v>
      </c>
      <c r="C39" s="18">
        <v>90.8</v>
      </c>
      <c r="D39" s="18">
        <v>76.89</v>
      </c>
      <c r="E39" s="18">
        <v>159.38</v>
      </c>
      <c r="F39" s="18">
        <v>489.03</v>
      </c>
      <c r="G39" s="18">
        <v>221.89</v>
      </c>
      <c r="H39" s="18">
        <v>102.69</v>
      </c>
      <c r="I39" s="18">
        <v>147.24</v>
      </c>
      <c r="J39" s="18">
        <v>149.71</v>
      </c>
      <c r="K39" s="18">
        <v>172.41</v>
      </c>
      <c r="U39" s="23">
        <v>19.7</v>
      </c>
      <c r="V39" s="23">
        <v>12.79</v>
      </c>
      <c r="W39" s="23">
        <v>12.32</v>
      </c>
      <c r="X39" s="23">
        <v>7.24</v>
      </c>
    </row>
    <row r="40" spans="1:24" ht="27.75" customHeight="1">
      <c r="A40" s="18" t="s">
        <v>88</v>
      </c>
      <c r="B40" s="18">
        <v>33.97</v>
      </c>
      <c r="C40" s="18">
        <v>16.2</v>
      </c>
      <c r="D40" s="18">
        <v>22.8</v>
      </c>
      <c r="E40" s="18">
        <v>91.64</v>
      </c>
      <c r="F40" s="18">
        <v>420.91</v>
      </c>
      <c r="G40" s="18">
        <v>108.99</v>
      </c>
      <c r="H40" s="18">
        <v>23.15</v>
      </c>
      <c r="I40" s="18">
        <v>75.48</v>
      </c>
      <c r="J40" s="18">
        <v>56.98</v>
      </c>
      <c r="K40" s="18">
        <v>40.909999999999997</v>
      </c>
      <c r="U40" s="23">
        <v>0</v>
      </c>
      <c r="V40" s="23">
        <v>0</v>
      </c>
      <c r="W40" s="23">
        <v>0</v>
      </c>
      <c r="X40" s="23">
        <v>0</v>
      </c>
    </row>
    <row r="41" spans="1:24" ht="15" customHeight="1">
      <c r="A41" s="18" t="s">
        <v>89</v>
      </c>
      <c r="B41" s="18">
        <v>1.54</v>
      </c>
      <c r="C41" s="18">
        <v>74.599999999999994</v>
      </c>
      <c r="D41" s="18">
        <v>54.09</v>
      </c>
      <c r="E41" s="18">
        <v>67.739999999999995</v>
      </c>
      <c r="F41" s="18">
        <v>68.12</v>
      </c>
      <c r="G41" s="18">
        <v>112.9</v>
      </c>
      <c r="H41" s="18">
        <v>79.510000000000005</v>
      </c>
      <c r="I41" s="18">
        <v>71.760000000000005</v>
      </c>
      <c r="J41" s="18">
        <v>92.73</v>
      </c>
      <c r="K41" s="18">
        <v>131.5</v>
      </c>
      <c r="U41" s="23">
        <v>0.91</v>
      </c>
      <c r="V41" s="23">
        <v>1.41</v>
      </c>
      <c r="W41" s="23">
        <v>2.1</v>
      </c>
      <c r="X41" s="23">
        <v>0.87</v>
      </c>
    </row>
    <row r="42" spans="1:24" ht="15" customHeight="1">
      <c r="A42" s="18" t="s">
        <v>14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0.03</v>
      </c>
      <c r="I42" s="18">
        <v>0</v>
      </c>
      <c r="J42" s="18">
        <v>0</v>
      </c>
      <c r="K42" s="18">
        <v>0</v>
      </c>
      <c r="U42" s="23">
        <v>9.4700000000000006</v>
      </c>
      <c r="V42" s="23">
        <v>6.56</v>
      </c>
      <c r="W42" s="23">
        <v>6.35</v>
      </c>
      <c r="X42" s="23">
        <v>5.7</v>
      </c>
    </row>
    <row r="43" spans="1:24" ht="15" customHeight="1">
      <c r="A43" s="18" t="s">
        <v>90</v>
      </c>
      <c r="B43" s="19">
        <v>3231.51</v>
      </c>
      <c r="C43" s="19">
        <v>3992.86</v>
      </c>
      <c r="D43" s="19">
        <v>4567.76</v>
      </c>
      <c r="E43" s="19">
        <v>4336</v>
      </c>
      <c r="F43" s="19">
        <v>4784.2299999999996</v>
      </c>
      <c r="G43" s="19">
        <v>5628.01</v>
      </c>
      <c r="H43" s="19">
        <v>6484.87</v>
      </c>
      <c r="I43" s="19">
        <v>6964.96</v>
      </c>
      <c r="J43" s="19">
        <v>7756.96</v>
      </c>
      <c r="K43" s="19">
        <v>7866.5</v>
      </c>
      <c r="U43" s="23">
        <v>0.89</v>
      </c>
      <c r="V43" s="23">
        <v>0.93</v>
      </c>
      <c r="W43" s="23">
        <v>0.75</v>
      </c>
      <c r="X43" s="23">
        <v>0</v>
      </c>
    </row>
    <row r="44" spans="1:24" ht="15" customHeight="1">
      <c r="A44" s="18" t="s">
        <v>91</v>
      </c>
      <c r="B44" s="19">
        <v>1183.31</v>
      </c>
      <c r="C44" s="19">
        <v>1055.31</v>
      </c>
      <c r="D44" s="18">
        <v>846.63</v>
      </c>
      <c r="E44" s="18">
        <v>536.74</v>
      </c>
      <c r="F44" s="18">
        <v>222.88</v>
      </c>
      <c r="G44" s="18">
        <v>241.7</v>
      </c>
      <c r="H44" s="18">
        <v>253.92</v>
      </c>
      <c r="I44" s="18">
        <v>248.38</v>
      </c>
      <c r="J44" s="18">
        <v>221.08</v>
      </c>
      <c r="K44" s="18">
        <v>562.29999999999995</v>
      </c>
      <c r="U44" s="23">
        <v>111.42</v>
      </c>
      <c r="V44" s="23">
        <v>87.31</v>
      </c>
      <c r="W44" s="23">
        <v>102.66</v>
      </c>
      <c r="X44" s="23">
        <v>120.82</v>
      </c>
    </row>
    <row r="45" spans="1:24" ht="14.25" customHeight="1">
      <c r="A45" s="18"/>
      <c r="B45" s="21"/>
      <c r="C45" s="20"/>
      <c r="D45" s="20"/>
      <c r="E45" s="20"/>
      <c r="F45" s="20"/>
      <c r="G45" s="20"/>
      <c r="H45" s="20"/>
      <c r="I45" s="20"/>
      <c r="J45" s="20"/>
      <c r="K45" s="18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zoomScale="76" zoomScaleNormal="76" workbookViewId="0">
      <selection activeCell="P14" sqref="P14"/>
    </sheetView>
  </sheetViews>
  <sheetFormatPr defaultColWidth="8.6640625" defaultRowHeight="14.4"/>
  <cols>
    <col min="1" max="1" width="21.88671875" customWidth="1"/>
  </cols>
  <sheetData>
    <row r="1" spans="1:11" ht="14.25" customHeight="1">
      <c r="A1" s="341" t="s">
        <v>92</v>
      </c>
      <c r="B1" s="341"/>
      <c r="C1" s="341"/>
      <c r="D1" s="341"/>
      <c r="E1" s="341"/>
      <c r="F1" s="341"/>
      <c r="G1" s="341"/>
      <c r="H1" s="341"/>
      <c r="I1" s="341"/>
      <c r="J1" s="341"/>
      <c r="K1" s="15"/>
    </row>
    <row r="2" spans="1:11" ht="14.25" customHeight="1">
      <c r="A2" s="14" t="s">
        <v>1</v>
      </c>
      <c r="B2" s="14">
        <v>202503</v>
      </c>
      <c r="C2" s="14">
        <v>202403</v>
      </c>
      <c r="D2" s="14">
        <v>202303</v>
      </c>
      <c r="E2" s="14">
        <v>202203</v>
      </c>
      <c r="F2" s="14">
        <v>202103</v>
      </c>
      <c r="G2" s="14">
        <v>202003</v>
      </c>
      <c r="H2" s="14">
        <v>201903</v>
      </c>
      <c r="I2" s="14">
        <v>201803</v>
      </c>
      <c r="J2" s="14">
        <v>201703</v>
      </c>
      <c r="K2" s="14">
        <v>201603</v>
      </c>
    </row>
    <row r="3" spans="1:11" ht="14.25" customHeight="1">
      <c r="A3" s="18" t="s">
        <v>93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4.25" customHeight="1">
      <c r="A4" s="18" t="s">
        <v>94</v>
      </c>
      <c r="B4" s="19">
        <v>9070.7099999999991</v>
      </c>
      <c r="C4" s="19">
        <v>9135.6</v>
      </c>
      <c r="D4" s="19">
        <v>8684.35</v>
      </c>
      <c r="E4" s="19">
        <v>8179.5</v>
      </c>
      <c r="F4" s="19">
        <v>7184.73</v>
      </c>
      <c r="G4" s="19">
        <v>6309.8</v>
      </c>
      <c r="H4" s="19">
        <v>6273.19</v>
      </c>
      <c r="I4" s="19">
        <v>5609.06</v>
      </c>
      <c r="J4" s="19">
        <v>5369.84</v>
      </c>
      <c r="K4" s="19">
        <v>5422.57</v>
      </c>
    </row>
    <row r="5" spans="1:11" ht="14.25" customHeight="1">
      <c r="A5" s="18" t="s">
        <v>95</v>
      </c>
      <c r="B5" s="19">
        <v>9070.7099999999991</v>
      </c>
      <c r="C5" s="19">
        <v>9135.6</v>
      </c>
      <c r="D5" s="19">
        <v>8684.35</v>
      </c>
      <c r="E5" s="19">
        <v>8179.5</v>
      </c>
      <c r="F5" s="19">
        <v>7184.73</v>
      </c>
      <c r="G5" s="19">
        <v>6309.8</v>
      </c>
      <c r="H5" s="19">
        <v>6273.19</v>
      </c>
      <c r="I5" s="19">
        <v>5592.29</v>
      </c>
      <c r="J5" s="19">
        <v>5290.65</v>
      </c>
      <c r="K5" s="19">
        <v>5340.04</v>
      </c>
    </row>
    <row r="6" spans="1:11" ht="14.25" customHeight="1">
      <c r="A6" s="18" t="s">
        <v>96</v>
      </c>
      <c r="B6" s="18">
        <v>451.94</v>
      </c>
      <c r="C6" s="18">
        <v>417.62</v>
      </c>
      <c r="D6" s="18">
        <v>392.17</v>
      </c>
      <c r="E6" s="18">
        <v>341.55</v>
      </c>
      <c r="F6" s="18">
        <v>276.64999999999998</v>
      </c>
      <c r="G6" s="18">
        <v>276.89999999999998</v>
      </c>
      <c r="H6" s="18">
        <v>274.74</v>
      </c>
      <c r="I6" s="18">
        <v>283.23</v>
      </c>
      <c r="J6" s="18">
        <v>274.64</v>
      </c>
      <c r="K6" s="18">
        <v>194.36</v>
      </c>
    </row>
    <row r="7" spans="1:11" ht="14.25" customHeight="1">
      <c r="A7" s="18" t="s">
        <v>97</v>
      </c>
      <c r="B7" s="18">
        <v>-12.9</v>
      </c>
      <c r="C7" s="18">
        <v>-49.18</v>
      </c>
      <c r="D7" s="18">
        <v>24.98</v>
      </c>
      <c r="E7" s="18">
        <v>28.49</v>
      </c>
      <c r="F7" s="18">
        <v>176.71</v>
      </c>
      <c r="G7" s="18">
        <v>69.89</v>
      </c>
      <c r="H7" s="18">
        <v>-10.09</v>
      </c>
      <c r="I7" s="18">
        <v>74.03</v>
      </c>
      <c r="J7" s="18">
        <v>8.19</v>
      </c>
      <c r="K7" s="18">
        <v>23.77</v>
      </c>
    </row>
    <row r="8" spans="1:11" ht="14.25" customHeight="1">
      <c r="A8" s="18" t="s">
        <v>98</v>
      </c>
      <c r="B8" s="19">
        <v>9509.75</v>
      </c>
      <c r="C8" s="19">
        <v>9504.0400000000009</v>
      </c>
      <c r="D8" s="19">
        <v>9101.5</v>
      </c>
      <c r="E8" s="19">
        <v>8549.5400000000009</v>
      </c>
      <c r="F8" s="19">
        <v>7638.09</v>
      </c>
      <c r="G8" s="19">
        <v>6656.59</v>
      </c>
      <c r="H8" s="19">
        <v>6537.84</v>
      </c>
      <c r="I8" s="19">
        <v>5949.55</v>
      </c>
      <c r="J8" s="19">
        <v>5573.48</v>
      </c>
      <c r="K8" s="19">
        <v>5558.17</v>
      </c>
    </row>
    <row r="9" spans="1:11" ht="14.25" customHeight="1">
      <c r="A9" s="18" t="s">
        <v>99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customHeight="1">
      <c r="A10" s="18" t="s">
        <v>100</v>
      </c>
      <c r="B10" s="19">
        <v>3896.24</v>
      </c>
      <c r="C10" s="19">
        <v>3797.27</v>
      </c>
      <c r="D10" s="19">
        <v>3797.74</v>
      </c>
      <c r="E10" s="19">
        <v>3444.55</v>
      </c>
      <c r="F10" s="19">
        <v>3065.28</v>
      </c>
      <c r="G10" s="19">
        <v>2531.1799999999998</v>
      </c>
      <c r="H10" s="19">
        <v>2511.23</v>
      </c>
      <c r="I10" s="19">
        <v>2281.2199999999998</v>
      </c>
      <c r="J10" s="19">
        <v>2129.17</v>
      </c>
      <c r="K10" s="19">
        <v>2150.59</v>
      </c>
    </row>
    <row r="11" spans="1:11" ht="14.25" customHeight="1">
      <c r="A11" s="18" t="s">
        <v>101</v>
      </c>
      <c r="B11" s="18">
        <v>97.85</v>
      </c>
      <c r="C11" s="18">
        <v>99.23</v>
      </c>
      <c r="D11" s="18">
        <v>93.32</v>
      </c>
      <c r="E11" s="18">
        <v>85.02</v>
      </c>
      <c r="F11" s="18">
        <v>70.72</v>
      </c>
      <c r="G11" s="18">
        <v>66.48</v>
      </c>
      <c r="H11" s="18">
        <v>63.99</v>
      </c>
      <c r="I11" s="18">
        <v>59.43</v>
      </c>
      <c r="J11" s="18">
        <v>50.61</v>
      </c>
      <c r="K11" s="18">
        <v>47.77</v>
      </c>
    </row>
    <row r="12" spans="1:11" ht="14.25" customHeight="1">
      <c r="A12" s="18" t="s">
        <v>102</v>
      </c>
      <c r="B12" s="18">
        <v>776.86</v>
      </c>
      <c r="C12" s="18">
        <v>782.14</v>
      </c>
      <c r="D12" s="18">
        <v>725.96</v>
      </c>
      <c r="E12" s="18">
        <v>678.71</v>
      </c>
      <c r="F12" s="18">
        <v>655.82</v>
      </c>
      <c r="G12" s="18">
        <v>578.26</v>
      </c>
      <c r="H12" s="18">
        <v>572.33000000000004</v>
      </c>
      <c r="I12" s="18">
        <v>461.13</v>
      </c>
      <c r="J12" s="18">
        <v>425.3</v>
      </c>
      <c r="K12" s="18">
        <v>431.89</v>
      </c>
    </row>
    <row r="13" spans="1:11" ht="27" customHeight="1">
      <c r="A13" s="18" t="s">
        <v>103</v>
      </c>
      <c r="B13" s="19">
        <v>1165.1600000000001</v>
      </c>
      <c r="C13" s="19">
        <v>1192.5999999999999</v>
      </c>
      <c r="D13" s="19">
        <v>1199.0999999999999</v>
      </c>
      <c r="E13" s="19">
        <v>1049.95</v>
      </c>
      <c r="F13" s="18">
        <v>880.46</v>
      </c>
      <c r="G13" s="18">
        <v>854.86</v>
      </c>
      <c r="H13" s="18">
        <v>804.04</v>
      </c>
      <c r="I13" s="18">
        <v>756.51</v>
      </c>
      <c r="J13" s="18">
        <v>732.62</v>
      </c>
      <c r="K13" s="18">
        <v>716.49</v>
      </c>
    </row>
    <row r="14" spans="1:11" ht="27" customHeight="1">
      <c r="A14" s="18" t="s">
        <v>104</v>
      </c>
      <c r="B14" s="19">
        <v>1267.24</v>
      </c>
      <c r="C14" s="19">
        <v>1228.56</v>
      </c>
      <c r="D14" s="19">
        <v>1021.29</v>
      </c>
      <c r="E14" s="19">
        <v>1068.6199999999999</v>
      </c>
      <c r="F14" s="19">
        <v>1002.15</v>
      </c>
      <c r="G14" s="18">
        <v>847.58</v>
      </c>
      <c r="H14" s="18">
        <v>835</v>
      </c>
      <c r="I14" s="18">
        <v>776.29</v>
      </c>
      <c r="J14" s="18">
        <v>748.55</v>
      </c>
      <c r="K14" s="18">
        <v>733.72</v>
      </c>
    </row>
    <row r="15" spans="1:11" ht="14.25" customHeight="1">
      <c r="A15" s="18" t="s">
        <v>105</v>
      </c>
      <c r="B15" s="18">
        <v>147.55000000000001</v>
      </c>
      <c r="C15" s="18">
        <v>147.54</v>
      </c>
      <c r="D15" s="18">
        <v>200.76</v>
      </c>
      <c r="E15" s="18">
        <v>147.32</v>
      </c>
      <c r="F15" s="18">
        <v>127.81</v>
      </c>
      <c r="G15" s="18">
        <v>220.56</v>
      </c>
      <c r="H15" s="18">
        <v>109.27</v>
      </c>
      <c r="I15" s="18">
        <v>117.45</v>
      </c>
      <c r="J15" s="18">
        <v>101.22</v>
      </c>
      <c r="K15" s="18">
        <v>185.27</v>
      </c>
    </row>
    <row r="16" spans="1:11" ht="14.2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4.25" customHeight="1">
      <c r="A17" s="18" t="s">
        <v>106</v>
      </c>
      <c r="B17" s="19">
        <v>7350.9</v>
      </c>
      <c r="C17" s="19">
        <v>7247.34</v>
      </c>
      <c r="D17" s="19">
        <v>7038.17</v>
      </c>
      <c r="E17" s="19">
        <v>6474.17</v>
      </c>
      <c r="F17" s="19">
        <v>5802.24</v>
      </c>
      <c r="G17" s="19">
        <v>5098.92</v>
      </c>
      <c r="H17" s="19">
        <v>4895.8599999999997</v>
      </c>
      <c r="I17" s="19">
        <v>4452.03</v>
      </c>
      <c r="J17" s="19">
        <v>4187.47</v>
      </c>
      <c r="K17" s="19">
        <v>4265.7299999999996</v>
      </c>
    </row>
    <row r="18" spans="1:11" ht="14.25" customHeight="1">
      <c r="A18" s="18" t="s">
        <v>107</v>
      </c>
      <c r="B18" s="19">
        <v>2158.85</v>
      </c>
      <c r="C18" s="19">
        <v>2256.6999999999998</v>
      </c>
      <c r="D18" s="19">
        <v>2063.33</v>
      </c>
      <c r="E18" s="19">
        <v>2075.37</v>
      </c>
      <c r="F18" s="19">
        <v>1835.85</v>
      </c>
      <c r="G18" s="19">
        <v>1557.67</v>
      </c>
      <c r="H18" s="19">
        <v>1641.98</v>
      </c>
      <c r="I18" s="19">
        <v>1497.52</v>
      </c>
      <c r="J18" s="19">
        <v>1386.01</v>
      </c>
      <c r="K18" s="19">
        <v>1292.44</v>
      </c>
    </row>
    <row r="19" spans="1:11" ht="14.25" customHeight="1">
      <c r="A19" s="18" t="s">
        <v>108</v>
      </c>
      <c r="B19" s="18">
        <v>99.58</v>
      </c>
      <c r="C19" s="18">
        <v>81.14</v>
      </c>
      <c r="D19" s="18">
        <v>46.37</v>
      </c>
      <c r="E19" s="18">
        <v>18.670000000000002</v>
      </c>
      <c r="F19" s="18">
        <v>9.14</v>
      </c>
      <c r="G19" s="18">
        <v>19.27</v>
      </c>
      <c r="H19" s="18">
        <v>29.8</v>
      </c>
      <c r="I19" s="18">
        <v>21.89</v>
      </c>
      <c r="J19" s="18">
        <v>16.23</v>
      </c>
      <c r="K19" s="18">
        <v>10.26</v>
      </c>
    </row>
    <row r="20" spans="1:11" ht="14.25" customHeight="1">
      <c r="A20" s="18" t="s">
        <v>109</v>
      </c>
      <c r="B20" s="19">
        <v>2059.27</v>
      </c>
      <c r="C20" s="19">
        <v>2175.56</v>
      </c>
      <c r="D20" s="19">
        <v>2016.96</v>
      </c>
      <c r="E20" s="19">
        <v>2056.6999999999998</v>
      </c>
      <c r="F20" s="19">
        <v>1826.71</v>
      </c>
      <c r="G20" s="19">
        <v>1538.4</v>
      </c>
      <c r="H20" s="19">
        <v>1612.18</v>
      </c>
      <c r="I20" s="19">
        <v>1475.63</v>
      </c>
      <c r="J20" s="19">
        <v>1369.78</v>
      </c>
      <c r="K20" s="19">
        <v>1282.18</v>
      </c>
    </row>
    <row r="21" spans="1:11" ht="14.25" customHeight="1">
      <c r="A21" s="18" t="s">
        <v>110</v>
      </c>
      <c r="B21" s="18">
        <v>250.93</v>
      </c>
      <c r="C21" s="18">
        <v>208.86</v>
      </c>
      <c r="D21" s="18">
        <v>188.29</v>
      </c>
      <c r="E21" s="18">
        <v>160.38999999999999</v>
      </c>
      <c r="F21" s="18">
        <v>143.4</v>
      </c>
      <c r="G21" s="18">
        <v>129.93</v>
      </c>
      <c r="H21" s="18">
        <v>108.83</v>
      </c>
      <c r="I21" s="18">
        <v>102.5</v>
      </c>
      <c r="J21" s="18">
        <v>75.430000000000007</v>
      </c>
      <c r="K21" s="18">
        <v>72.83</v>
      </c>
    </row>
    <row r="22" spans="1:11" ht="14.25" customHeight="1">
      <c r="A22" s="18" t="s">
        <v>111</v>
      </c>
      <c r="B22" s="19">
        <v>1808.34</v>
      </c>
      <c r="C22" s="19">
        <v>1966.7</v>
      </c>
      <c r="D22" s="19">
        <v>1828.67</v>
      </c>
      <c r="E22" s="19">
        <v>1896.31</v>
      </c>
      <c r="F22" s="19">
        <v>1683.31</v>
      </c>
      <c r="G22" s="19">
        <v>1408.47</v>
      </c>
      <c r="H22" s="19">
        <v>1503.35</v>
      </c>
      <c r="I22" s="19">
        <v>1373.13</v>
      </c>
      <c r="J22" s="19">
        <v>1294.3499999999999</v>
      </c>
      <c r="K22" s="19">
        <v>1209.3499999999999</v>
      </c>
    </row>
    <row r="23" spans="1:11" ht="14.25" customHeight="1">
      <c r="A23" s="18" t="s">
        <v>112</v>
      </c>
      <c r="B23" s="18">
        <v>393.12</v>
      </c>
      <c r="C23" s="18">
        <v>443.8</v>
      </c>
      <c r="D23" s="18">
        <v>423.86</v>
      </c>
      <c r="E23" s="18">
        <v>378.97</v>
      </c>
      <c r="F23" s="18">
        <v>299.75</v>
      </c>
      <c r="G23" s="18">
        <v>425.4</v>
      </c>
      <c r="H23" s="18">
        <v>369.28</v>
      </c>
      <c r="I23" s="18">
        <v>340.33</v>
      </c>
      <c r="J23" s="18">
        <v>310.83</v>
      </c>
      <c r="K23" s="18">
        <v>259.11</v>
      </c>
    </row>
    <row r="24" spans="1:11" ht="14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4.25" customHeight="1">
      <c r="A25" s="18" t="s">
        <v>113</v>
      </c>
      <c r="B25" s="18">
        <v>12</v>
      </c>
      <c r="C25" s="18">
        <v>13.69</v>
      </c>
      <c r="D25" s="18">
        <v>31.55</v>
      </c>
      <c r="E25" s="18">
        <v>84.41</v>
      </c>
      <c r="F25" s="18">
        <v>1.67</v>
      </c>
      <c r="G25" s="18">
        <v>-187.28</v>
      </c>
      <c r="H25" s="18">
        <v>-130.22</v>
      </c>
      <c r="I25" s="18">
        <v>-39.25</v>
      </c>
      <c r="J25" s="18">
        <v>-14.81</v>
      </c>
      <c r="K25" s="18">
        <v>12.98</v>
      </c>
    </row>
    <row r="26" spans="1:11" ht="14.25" customHeight="1">
      <c r="A26" s="18" t="s">
        <v>114</v>
      </c>
      <c r="B26" s="19">
        <v>1403.22</v>
      </c>
      <c r="C26" s="19">
        <v>1509.21</v>
      </c>
      <c r="D26" s="19">
        <v>1373.26</v>
      </c>
      <c r="E26" s="19">
        <v>1432.93</v>
      </c>
      <c r="F26" s="19">
        <v>1381.89</v>
      </c>
      <c r="G26" s="19">
        <v>1170.3499999999999</v>
      </c>
      <c r="H26" s="19">
        <v>1264.29</v>
      </c>
      <c r="I26" s="19">
        <v>1072.05</v>
      </c>
      <c r="J26" s="18">
        <v>998.33</v>
      </c>
      <c r="K26" s="18">
        <v>937.26</v>
      </c>
    </row>
    <row r="27" spans="1:11" ht="14.25" customHeight="1">
      <c r="A27" s="18" t="s">
        <v>115</v>
      </c>
      <c r="B27" s="18">
        <v>-0.99</v>
      </c>
      <c r="C27" s="18">
        <v>-1.03</v>
      </c>
      <c r="D27" s="18">
        <v>-9.85</v>
      </c>
      <c r="E27" s="18">
        <v>-0.51</v>
      </c>
      <c r="F27" s="18">
        <v>0.62</v>
      </c>
      <c r="G27" s="18">
        <v>-69.72</v>
      </c>
      <c r="H27" s="18">
        <v>0.67</v>
      </c>
      <c r="I27" s="18">
        <v>-9.1199999999999992</v>
      </c>
      <c r="J27" s="18">
        <v>-0.65</v>
      </c>
      <c r="K27" s="18">
        <v>20.3</v>
      </c>
    </row>
    <row r="28" spans="1:11" ht="14.25" customHeight="1">
      <c r="A28" s="18" t="s">
        <v>116</v>
      </c>
      <c r="B28" s="19">
        <v>1404.21</v>
      </c>
      <c r="C28" s="19">
        <v>1510.24</v>
      </c>
      <c r="D28" s="19">
        <v>1383.11</v>
      </c>
      <c r="E28" s="19">
        <v>1433.44</v>
      </c>
      <c r="F28" s="19">
        <v>1381.27</v>
      </c>
      <c r="G28" s="19">
        <v>1240.07</v>
      </c>
      <c r="H28" s="19">
        <v>1263.6199999999999</v>
      </c>
      <c r="I28" s="19">
        <v>1081.17</v>
      </c>
      <c r="J28" s="18">
        <v>998.98</v>
      </c>
      <c r="K28" s="18">
        <v>916.96</v>
      </c>
    </row>
    <row r="29" spans="1:11" ht="14.25" customHeight="1">
      <c r="A29" s="18" t="s">
        <v>117</v>
      </c>
      <c r="B29" s="18">
        <v>3.06</v>
      </c>
      <c r="C29" s="18">
        <v>-1.93</v>
      </c>
      <c r="D29" s="18">
        <v>-1.59</v>
      </c>
      <c r="E29" s="18">
        <v>7.61</v>
      </c>
      <c r="F29" s="18">
        <v>4.47</v>
      </c>
      <c r="G29" s="18">
        <v>-73.83</v>
      </c>
      <c r="H29" s="18">
        <v>-226.09</v>
      </c>
      <c r="I29" s="18">
        <v>-36.47</v>
      </c>
      <c r="J29" s="18">
        <v>-78.59</v>
      </c>
      <c r="K29" s="18">
        <v>-94.92</v>
      </c>
    </row>
    <row r="30" spans="1:11" ht="27" customHeight="1">
      <c r="A30" s="18" t="s">
        <v>118</v>
      </c>
      <c r="B30" s="19">
        <v>5642.76</v>
      </c>
      <c r="C30" s="19">
        <v>5101.24</v>
      </c>
      <c r="D30" s="19">
        <v>4650.88</v>
      </c>
      <c r="E30" s="19">
        <v>4182.66</v>
      </c>
      <c r="F30" s="19">
        <v>3388.39</v>
      </c>
      <c r="G30" s="19">
        <v>2855.17</v>
      </c>
      <c r="H30" s="19">
        <v>3187.07</v>
      </c>
      <c r="I30" s="19">
        <v>2592.66</v>
      </c>
      <c r="J30" s="19">
        <v>2169.17</v>
      </c>
      <c r="K30" s="19">
        <v>1750.03</v>
      </c>
    </row>
    <row r="31" spans="1:11" ht="14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4.25" customHeight="1">
      <c r="A32" s="18" t="s">
        <v>119</v>
      </c>
      <c r="B32" s="18">
        <v>974.78</v>
      </c>
      <c r="C32" s="18">
        <v>965.76</v>
      </c>
      <c r="D32" s="18">
        <v>921.31</v>
      </c>
      <c r="E32" s="18">
        <v>972.32</v>
      </c>
      <c r="F32" s="18">
        <v>592.09</v>
      </c>
      <c r="G32" s="18">
        <v>563.29999999999995</v>
      </c>
      <c r="H32" s="19">
        <v>1370.1</v>
      </c>
      <c r="I32" s="18">
        <v>441.17</v>
      </c>
      <c r="J32" s="18">
        <v>496.25</v>
      </c>
      <c r="K32" s="18">
        <v>423.2</v>
      </c>
    </row>
    <row r="33" spans="1:11" ht="27" customHeight="1">
      <c r="A33" s="18" t="s">
        <v>120</v>
      </c>
      <c r="B33" s="19">
        <v>6074.26</v>
      </c>
      <c r="C33" s="19">
        <v>5642.76</v>
      </c>
      <c r="D33" s="19">
        <v>5101.24</v>
      </c>
      <c r="E33" s="19">
        <v>4650.88</v>
      </c>
      <c r="F33" s="19">
        <v>4182.66</v>
      </c>
      <c r="G33" s="19">
        <v>3388.39</v>
      </c>
      <c r="H33" s="19">
        <v>2855.17</v>
      </c>
      <c r="I33" s="19">
        <v>3187.07</v>
      </c>
      <c r="J33" s="19">
        <v>2592.66</v>
      </c>
      <c r="K33" s="19">
        <v>2169.17</v>
      </c>
    </row>
    <row r="34" spans="1:11" ht="14.25" customHeight="1">
      <c r="A34" s="18" t="s">
        <v>121</v>
      </c>
      <c r="B34" s="18">
        <v>0</v>
      </c>
      <c r="C34" s="18">
        <v>0</v>
      </c>
      <c r="D34" s="18">
        <v>0</v>
      </c>
      <c r="E34" s="18">
        <v>0</v>
      </c>
      <c r="F34" s="18">
        <v>309.3</v>
      </c>
      <c r="G34" s="18">
        <v>247.39</v>
      </c>
      <c r="H34" s="18">
        <v>220.79</v>
      </c>
      <c r="I34" s="18">
        <v>220.19</v>
      </c>
      <c r="J34" s="18">
        <v>220.19</v>
      </c>
      <c r="K34" s="18">
        <v>423.2</v>
      </c>
    </row>
    <row r="35" spans="1:11" ht="14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4.25" customHeight="1">
      <c r="A36" s="18" t="s">
        <v>122</v>
      </c>
      <c r="B36" s="18">
        <v>800</v>
      </c>
      <c r="C36" s="18">
        <v>550</v>
      </c>
      <c r="D36" s="18">
        <v>520</v>
      </c>
      <c r="E36" s="18">
        <v>520</v>
      </c>
      <c r="F36" s="18">
        <v>475</v>
      </c>
      <c r="G36" s="18">
        <v>300</v>
      </c>
      <c r="H36" s="18">
        <v>275</v>
      </c>
      <c r="I36" s="18">
        <v>750</v>
      </c>
      <c r="J36" s="18">
        <v>225</v>
      </c>
      <c r="K36" s="18">
        <v>225</v>
      </c>
    </row>
    <row r="37" spans="1:11" ht="14.25" customHeight="1">
      <c r="A37" s="18" t="s">
        <v>123</v>
      </c>
      <c r="B37" s="18">
        <v>8</v>
      </c>
      <c r="C37" s="18">
        <v>5.5</v>
      </c>
      <c r="D37" s="18">
        <v>5.2</v>
      </c>
      <c r="E37" s="18">
        <v>5.2</v>
      </c>
      <c r="F37" s="18">
        <v>4.75</v>
      </c>
      <c r="G37" s="18">
        <v>3</v>
      </c>
      <c r="H37" s="18">
        <v>2.75</v>
      </c>
      <c r="I37" s="18">
        <v>7.5</v>
      </c>
      <c r="J37" s="18">
        <v>2.25</v>
      </c>
      <c r="K37" s="18">
        <v>2.25</v>
      </c>
    </row>
    <row r="38" spans="1:11" ht="27" customHeight="1">
      <c r="A38" s="18" t="s">
        <v>124</v>
      </c>
      <c r="B38" s="18">
        <v>7.92</v>
      </c>
      <c r="C38" s="18">
        <v>8.52</v>
      </c>
      <c r="D38" s="18">
        <v>7.75</v>
      </c>
      <c r="E38" s="18">
        <v>8.11</v>
      </c>
      <c r="F38" s="18">
        <v>7.82</v>
      </c>
      <c r="G38" s="18">
        <v>6.62</v>
      </c>
      <c r="H38" s="18">
        <v>7.16</v>
      </c>
      <c r="I38" s="18">
        <v>6.09</v>
      </c>
      <c r="J38" s="18">
        <v>5.67</v>
      </c>
      <c r="K38" s="18">
        <v>5.33</v>
      </c>
    </row>
    <row r="39" spans="1:11" ht="27" customHeight="1">
      <c r="A39" s="18" t="s">
        <v>125</v>
      </c>
      <c r="B39" s="18">
        <v>7.92</v>
      </c>
      <c r="C39" s="18">
        <v>8.52</v>
      </c>
      <c r="D39" s="18">
        <v>7.75</v>
      </c>
      <c r="E39" s="18">
        <v>8.11</v>
      </c>
      <c r="F39" s="18">
        <v>7.82</v>
      </c>
      <c r="G39" s="18">
        <v>6.62</v>
      </c>
      <c r="H39" s="18">
        <v>7.16</v>
      </c>
      <c r="I39" s="18">
        <v>6.09</v>
      </c>
      <c r="J39" s="18">
        <v>5.67</v>
      </c>
      <c r="K39" s="18">
        <v>5.33</v>
      </c>
    </row>
    <row r="40" spans="1:11" ht="14.25" customHeight="1">
      <c r="A40" s="18" t="s">
        <v>126</v>
      </c>
      <c r="B40" s="18">
        <v>41.89</v>
      </c>
      <c r="C40" s="18">
        <v>39.03</v>
      </c>
      <c r="D40" s="18">
        <v>35.479999999999997</v>
      </c>
      <c r="E40" s="18">
        <v>33.17</v>
      </c>
      <c r="F40" s="18">
        <v>30.5</v>
      </c>
      <c r="G40" s="18">
        <v>25.89</v>
      </c>
      <c r="H40" s="18">
        <v>22.47</v>
      </c>
      <c r="I40" s="18">
        <v>24</v>
      </c>
      <c r="J40" s="18">
        <v>20.77</v>
      </c>
      <c r="K40" s="18">
        <v>17.59</v>
      </c>
    </row>
    <row r="41" spans="1:11" ht="14.25" customHeight="1">
      <c r="A41" s="18" t="s">
        <v>127</v>
      </c>
      <c r="B41" s="18">
        <v>41.89</v>
      </c>
      <c r="C41" s="18">
        <v>39.03</v>
      </c>
      <c r="D41" s="18">
        <v>35.479999999999997</v>
      </c>
      <c r="E41" s="18">
        <v>33.17</v>
      </c>
      <c r="F41" s="18">
        <v>30.5</v>
      </c>
      <c r="G41" s="18">
        <v>25.89</v>
      </c>
      <c r="H41" s="18">
        <v>22.47</v>
      </c>
      <c r="I41" s="18">
        <v>24</v>
      </c>
      <c r="J41" s="18">
        <v>20.77</v>
      </c>
      <c r="K41" s="18">
        <v>17.59</v>
      </c>
    </row>
    <row r="42" spans="1:11" ht="27" customHeight="1">
      <c r="A42" s="18" t="s">
        <v>128</v>
      </c>
      <c r="B42" s="18">
        <v>8</v>
      </c>
      <c r="C42" s="18">
        <v>5.5</v>
      </c>
      <c r="D42" s="18">
        <v>5.2</v>
      </c>
      <c r="E42" s="18">
        <v>5.2</v>
      </c>
      <c r="F42" s="18">
        <v>4.75</v>
      </c>
      <c r="G42" s="18">
        <v>3</v>
      </c>
      <c r="H42" s="18">
        <v>2.75</v>
      </c>
      <c r="I42" s="18">
        <v>7.5</v>
      </c>
      <c r="J42" s="18">
        <v>2.25</v>
      </c>
      <c r="K42" s="18">
        <v>2.25</v>
      </c>
    </row>
    <row r="43" spans="1:11" ht="14.25" customHeight="1">
      <c r="A43" s="18"/>
      <c r="B43" s="18"/>
      <c r="C43" s="20"/>
      <c r="D43" s="20"/>
      <c r="E43" s="20"/>
      <c r="F43" s="20"/>
      <c r="G43" s="20"/>
      <c r="H43" s="20"/>
      <c r="I43" s="20"/>
      <c r="J43" s="20"/>
      <c r="K43" s="21"/>
    </row>
  </sheetData>
  <mergeCells count="1">
    <mergeCell ref="A1:J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13"/>
  <sheetViews>
    <sheetView zoomScale="120" zoomScaleNormal="120" workbookViewId="0">
      <selection activeCell="C8" sqref="C8"/>
    </sheetView>
  </sheetViews>
  <sheetFormatPr defaultColWidth="8.6640625" defaultRowHeight="14.4"/>
  <cols>
    <col min="1" max="1" width="15.21875" customWidth="1"/>
    <col min="2" max="2" width="23.88671875" customWidth="1"/>
    <col min="4" max="4" width="21.109375" customWidth="1"/>
  </cols>
  <sheetData>
    <row r="3" spans="1:5" ht="28.5" customHeight="1">
      <c r="A3" s="24">
        <v>1</v>
      </c>
      <c r="B3" s="25" t="s">
        <v>129</v>
      </c>
      <c r="C3" s="26"/>
      <c r="D3" s="26"/>
      <c r="E3" s="15"/>
    </row>
    <row r="4" spans="1:5" ht="32.25" customHeight="1">
      <c r="A4" s="27"/>
      <c r="B4" s="28" t="s">
        <v>130</v>
      </c>
      <c r="C4" s="29">
        <v>1.2999999999999999E-2</v>
      </c>
      <c r="D4" s="28" t="s">
        <v>131</v>
      </c>
      <c r="E4" s="30" t="s">
        <v>132</v>
      </c>
    </row>
    <row r="5" spans="1:5" ht="32.25" customHeight="1">
      <c r="A5" s="27">
        <v>2</v>
      </c>
      <c r="B5" s="28" t="s">
        <v>133</v>
      </c>
      <c r="C5" s="29">
        <v>0.34939999999999999</v>
      </c>
      <c r="D5" s="28" t="s">
        <v>131</v>
      </c>
      <c r="E5" s="30" t="s">
        <v>132</v>
      </c>
    </row>
    <row r="6" spans="1:5" ht="28.5" customHeight="1">
      <c r="A6" s="27">
        <v>3</v>
      </c>
      <c r="B6" s="28" t="s">
        <v>134</v>
      </c>
      <c r="E6" s="30"/>
    </row>
    <row r="7" spans="1:5" ht="14.25" customHeight="1">
      <c r="A7" s="27">
        <v>4</v>
      </c>
      <c r="B7" s="28" t="s">
        <v>135</v>
      </c>
      <c r="C7" s="31">
        <v>7.3700000000000002E-2</v>
      </c>
      <c r="E7" s="30"/>
    </row>
    <row r="8" spans="1:5" ht="14.25" customHeight="1">
      <c r="A8" s="27">
        <v>5</v>
      </c>
      <c r="B8" s="28" t="s">
        <v>136</v>
      </c>
      <c r="C8" s="31"/>
      <c r="E8" s="30"/>
    </row>
    <row r="9" spans="1:5" ht="28.5" customHeight="1">
      <c r="A9" s="27">
        <v>6</v>
      </c>
      <c r="B9" s="28" t="s">
        <v>137</v>
      </c>
      <c r="E9" s="30"/>
    </row>
    <row r="10" spans="1:5" ht="28.5" customHeight="1">
      <c r="A10" s="27">
        <v>7</v>
      </c>
      <c r="B10" s="28" t="s">
        <v>138</v>
      </c>
      <c r="E10" s="30"/>
    </row>
    <row r="11" spans="1:5" ht="14.25" customHeight="1">
      <c r="A11" s="27">
        <v>8</v>
      </c>
      <c r="B11" s="28" t="s">
        <v>139</v>
      </c>
      <c r="E11" s="30"/>
    </row>
    <row r="12" spans="1:5" ht="14.25" customHeight="1">
      <c r="A12" s="32">
        <v>9</v>
      </c>
      <c r="B12" s="33" t="s">
        <v>140</v>
      </c>
      <c r="C12" s="20"/>
      <c r="D12" s="20"/>
      <c r="E12" s="21"/>
    </row>
    <row r="13" spans="1:5" ht="14.25" customHeight="1">
      <c r="A13" s="28"/>
      <c r="B13" s="2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91"/>
  <sheetViews>
    <sheetView topLeftCell="A89" zoomScale="77" zoomScaleNormal="77" workbookViewId="0">
      <selection activeCell="A92" sqref="A92:B94"/>
    </sheetView>
  </sheetViews>
  <sheetFormatPr defaultColWidth="8.6640625" defaultRowHeight="14.4"/>
  <cols>
    <col min="1" max="1" width="47.6640625" style="34" customWidth="1"/>
    <col min="2" max="2" width="9" customWidth="1"/>
    <col min="3" max="3" width="12.109375" customWidth="1"/>
    <col min="4" max="11" width="11.44140625" customWidth="1"/>
    <col min="12" max="12" width="17.21875" customWidth="1"/>
    <col min="13" max="13" width="17.33203125" customWidth="1"/>
    <col min="14" max="14" width="12.44140625" customWidth="1"/>
    <col min="15" max="15" width="12.5546875" customWidth="1"/>
    <col min="16" max="16" width="17" customWidth="1"/>
    <col min="17" max="17" width="9" customWidth="1"/>
  </cols>
  <sheetData>
    <row r="1" spans="1:18" ht="14.25" customHeight="1">
      <c r="A1" s="35"/>
      <c r="B1" s="36"/>
      <c r="C1" s="36"/>
      <c r="D1" s="37"/>
      <c r="E1" s="10" t="s">
        <v>141</v>
      </c>
      <c r="F1" s="10"/>
      <c r="G1" s="10"/>
      <c r="H1" s="10"/>
      <c r="I1" s="10"/>
      <c r="J1" s="37"/>
      <c r="K1" s="37"/>
      <c r="L1" s="37"/>
      <c r="M1" s="37"/>
      <c r="N1" s="37"/>
      <c r="O1" s="37"/>
      <c r="P1" s="37"/>
      <c r="Q1" s="38"/>
    </row>
    <row r="2" spans="1:18" ht="14.25" customHeight="1">
      <c r="A2" s="39"/>
      <c r="B2" s="40"/>
      <c r="C2" s="40"/>
      <c r="E2" s="10"/>
      <c r="F2" s="10"/>
      <c r="G2" s="10"/>
      <c r="H2" s="10"/>
      <c r="I2" s="10"/>
      <c r="Q2" s="41"/>
    </row>
    <row r="3" spans="1:18" ht="14.25" customHeight="1">
      <c r="A3" s="42" t="s">
        <v>1</v>
      </c>
      <c r="B3" s="43">
        <v>2016</v>
      </c>
      <c r="C3" s="43">
        <v>2017</v>
      </c>
      <c r="D3" s="43">
        <v>2018</v>
      </c>
      <c r="E3" s="43">
        <v>2019</v>
      </c>
      <c r="F3" s="43">
        <v>2020</v>
      </c>
      <c r="G3" s="43">
        <v>2021</v>
      </c>
      <c r="H3" s="43">
        <v>2022</v>
      </c>
      <c r="I3" s="43">
        <v>2023</v>
      </c>
      <c r="J3" s="43">
        <v>2024</v>
      </c>
      <c r="K3" s="43">
        <v>2025</v>
      </c>
      <c r="L3" s="43">
        <v>2026</v>
      </c>
      <c r="M3" s="43">
        <v>2027</v>
      </c>
      <c r="N3" s="43">
        <v>2028</v>
      </c>
      <c r="O3" s="43">
        <v>2029</v>
      </c>
      <c r="P3" s="43">
        <v>2030</v>
      </c>
      <c r="Q3" s="44" t="s">
        <v>142</v>
      </c>
    </row>
    <row r="4" spans="1:18" ht="14.25" customHeight="1">
      <c r="A4" s="42" t="s">
        <v>93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6"/>
      <c r="M4" s="46"/>
      <c r="N4" s="46"/>
      <c r="O4" s="46"/>
      <c r="P4" s="46"/>
      <c r="Q4" s="41"/>
    </row>
    <row r="5" spans="1:18" ht="14.25" customHeight="1">
      <c r="A5" s="42" t="s">
        <v>94</v>
      </c>
      <c r="B5" s="47">
        <v>5422.57</v>
      </c>
      <c r="C5" s="47">
        <v>5369.84</v>
      </c>
      <c r="D5" s="47">
        <v>5609.06</v>
      </c>
      <c r="E5" s="47">
        <v>6273.19</v>
      </c>
      <c r="F5" s="47">
        <v>6309.8</v>
      </c>
      <c r="G5" s="47">
        <v>7184.73</v>
      </c>
      <c r="H5" s="47">
        <v>8179.5</v>
      </c>
      <c r="I5" s="47">
        <v>8684.35</v>
      </c>
      <c r="J5" s="47">
        <v>9135.6</v>
      </c>
      <c r="K5" s="47">
        <v>9070.7099999999991</v>
      </c>
      <c r="L5" s="46">
        <f>K5*(1+$Q$9)</f>
        <v>9609.8811362369797</v>
      </c>
      <c r="M5" s="46">
        <f>L5*(1+$Q$9)</f>
        <v>10181.10108829445</v>
      </c>
      <c r="N5" s="46">
        <f>M5*(1+$Q$9)</f>
        <v>10786.274866523418</v>
      </c>
      <c r="O5" s="46">
        <f>N5*(1+$Q$9)</f>
        <v>11427.420716798402</v>
      </c>
      <c r="P5" s="46">
        <f>O5*(1+$Q$9)</f>
        <v>12106.6768513385</v>
      </c>
      <c r="Q5" s="41"/>
    </row>
    <row r="6" spans="1:18" ht="14.25" customHeight="1">
      <c r="A6" s="42" t="s">
        <v>97</v>
      </c>
      <c r="B6" s="48">
        <v>23.77</v>
      </c>
      <c r="C6" s="48">
        <v>8.19</v>
      </c>
      <c r="D6" s="48">
        <v>74.03</v>
      </c>
      <c r="E6" s="48">
        <v>-10.09</v>
      </c>
      <c r="F6" s="48">
        <v>69.89</v>
      </c>
      <c r="G6" s="48">
        <v>176.71</v>
      </c>
      <c r="H6" s="48">
        <v>28.49</v>
      </c>
      <c r="I6" s="48">
        <v>24.98</v>
      </c>
      <c r="J6" s="48">
        <v>-49.18</v>
      </c>
      <c r="K6" s="48">
        <v>-12.9</v>
      </c>
      <c r="L6" s="46"/>
      <c r="M6" s="46"/>
      <c r="N6" s="46"/>
      <c r="O6" s="46"/>
      <c r="P6" s="46"/>
      <c r="Q6" s="41"/>
    </row>
    <row r="7" spans="1:18" ht="14.25" customHeight="1">
      <c r="A7" s="42" t="s">
        <v>95</v>
      </c>
      <c r="B7" s="49">
        <f t="shared" ref="B7:K7" si="0">SUM(B5:B6)</f>
        <v>5446.34</v>
      </c>
      <c r="C7" s="49">
        <f t="shared" si="0"/>
        <v>5378.03</v>
      </c>
      <c r="D7" s="49">
        <f t="shared" si="0"/>
        <v>5683.09</v>
      </c>
      <c r="E7" s="49">
        <f t="shared" si="0"/>
        <v>6263.0999999999995</v>
      </c>
      <c r="F7" s="49">
        <f t="shared" si="0"/>
        <v>6379.6900000000005</v>
      </c>
      <c r="G7" s="49">
        <f t="shared" si="0"/>
        <v>7361.44</v>
      </c>
      <c r="H7" s="49">
        <f t="shared" si="0"/>
        <v>8207.99</v>
      </c>
      <c r="I7" s="49">
        <f t="shared" si="0"/>
        <v>8709.33</v>
      </c>
      <c r="J7" s="49">
        <f t="shared" si="0"/>
        <v>9086.42</v>
      </c>
      <c r="K7" s="49">
        <f t="shared" si="0"/>
        <v>9057.81</v>
      </c>
      <c r="L7" s="50">
        <f>L5+L6</f>
        <v>9609.8811362369797</v>
      </c>
      <c r="M7" s="50">
        <f>M5+M6</f>
        <v>10181.10108829445</v>
      </c>
      <c r="N7" s="50">
        <f>N5+N6</f>
        <v>10786.274866523418</v>
      </c>
      <c r="O7" s="50">
        <f>O5+O6</f>
        <v>11427.420716798402</v>
      </c>
      <c r="P7" s="50">
        <f>P5+P6</f>
        <v>12106.6768513385</v>
      </c>
      <c r="Q7" s="41"/>
    </row>
    <row r="8" spans="1:18" ht="14.25" customHeight="1">
      <c r="A8" s="42" t="s">
        <v>98</v>
      </c>
      <c r="B8" s="49">
        <f t="shared" ref="B8:K8" si="1">B7</f>
        <v>5446.34</v>
      </c>
      <c r="C8" s="49">
        <f t="shared" si="1"/>
        <v>5378.03</v>
      </c>
      <c r="D8" s="49">
        <f t="shared" si="1"/>
        <v>5683.09</v>
      </c>
      <c r="E8" s="49">
        <f t="shared" si="1"/>
        <v>6263.0999999999995</v>
      </c>
      <c r="F8" s="49">
        <f t="shared" si="1"/>
        <v>6379.6900000000005</v>
      </c>
      <c r="G8" s="49">
        <f t="shared" si="1"/>
        <v>7361.44</v>
      </c>
      <c r="H8" s="49">
        <f t="shared" si="1"/>
        <v>8207.99</v>
      </c>
      <c r="I8" s="49">
        <f t="shared" si="1"/>
        <v>8709.33</v>
      </c>
      <c r="J8" s="49">
        <f t="shared" si="1"/>
        <v>9086.42</v>
      </c>
      <c r="K8" s="49">
        <f t="shared" si="1"/>
        <v>9057.81</v>
      </c>
      <c r="L8" s="50">
        <f>K8*(1+$Q$9)</f>
        <v>9596.2143486693622</v>
      </c>
      <c r="M8" s="50">
        <f>L8*(1+$Q$9)</f>
        <v>10166.621934618606</v>
      </c>
      <c r="N8" s="50">
        <f>M8*(1+$Q$9)</f>
        <v>10770.935058969415</v>
      </c>
      <c r="O8" s="50">
        <f>N8*(1+$Q$9)</f>
        <v>11411.169097327964</v>
      </c>
      <c r="P8" s="50">
        <f>O8*(1+$Q$9)</f>
        <v>12089.459221033676</v>
      </c>
      <c r="Q8" s="41"/>
    </row>
    <row r="9" spans="1:18" ht="14.25" customHeight="1">
      <c r="A9" s="51" t="s">
        <v>142</v>
      </c>
      <c r="B9" s="45"/>
      <c r="C9" s="45">
        <f t="shared" ref="C9:K9" si="2">(C8-B8)/B8</f>
        <v>-1.2542367902114153E-2</v>
      </c>
      <c r="D9" s="45">
        <f t="shared" si="2"/>
        <v>5.6723372684793577E-2</v>
      </c>
      <c r="E9" s="45">
        <f t="shared" si="2"/>
        <v>0.10205891513243663</v>
      </c>
      <c r="F9" s="45">
        <f t="shared" si="2"/>
        <v>1.8615382158994918E-2</v>
      </c>
      <c r="G9" s="45">
        <f t="shared" si="2"/>
        <v>0.15388678760253224</v>
      </c>
      <c r="H9" s="45">
        <f t="shared" si="2"/>
        <v>0.11499788084939906</v>
      </c>
      <c r="I9" s="45">
        <f t="shared" si="2"/>
        <v>6.1079509112462391E-2</v>
      </c>
      <c r="J9" s="45">
        <f t="shared" si="2"/>
        <v>4.3297245597537372E-2</v>
      </c>
      <c r="K9" s="45">
        <f t="shared" si="2"/>
        <v>-3.14865480574314E-3</v>
      </c>
      <c r="L9" s="46"/>
      <c r="M9" s="46"/>
      <c r="N9" s="46"/>
      <c r="O9" s="46"/>
      <c r="P9" s="46"/>
      <c r="Q9" s="52">
        <f>AVERAGE(C9:K9)</f>
        <v>5.9440896714477658E-2</v>
      </c>
      <c r="R9" t="s">
        <v>143</v>
      </c>
    </row>
    <row r="10" spans="1:18" ht="14.25" customHeight="1">
      <c r="A10" s="42" t="s">
        <v>100</v>
      </c>
      <c r="B10" s="47">
        <v>2150.59</v>
      </c>
      <c r="C10" s="47">
        <v>2129.17</v>
      </c>
      <c r="D10" s="47">
        <v>2281.2199999999998</v>
      </c>
      <c r="E10" s="47">
        <v>2511.23</v>
      </c>
      <c r="F10" s="47">
        <v>2531.1799999999998</v>
      </c>
      <c r="G10" s="47">
        <v>3065.28</v>
      </c>
      <c r="H10" s="47">
        <v>3444.55</v>
      </c>
      <c r="I10" s="47">
        <v>3797.74</v>
      </c>
      <c r="J10" s="47">
        <v>3797.27</v>
      </c>
      <c r="K10" s="47">
        <v>3896.24</v>
      </c>
      <c r="L10" s="46">
        <f t="shared" ref="L10:P15" si="3">K10*(1+$Q$16)</f>
        <v>4154.8900051456894</v>
      </c>
      <c r="M10" s="46">
        <f t="shared" si="3"/>
        <v>4430.7103655985129</v>
      </c>
      <c r="N10" s="46">
        <f t="shared" si="3"/>
        <v>4724.8409270785851</v>
      </c>
      <c r="O10" s="46">
        <f t="shared" si="3"/>
        <v>5038.4972034120356</v>
      </c>
      <c r="P10" s="46">
        <f t="shared" si="3"/>
        <v>5372.9753997215721</v>
      </c>
      <c r="Q10" s="41"/>
    </row>
    <row r="11" spans="1:18" ht="14.25" customHeight="1">
      <c r="A11" s="42" t="s">
        <v>101</v>
      </c>
      <c r="B11" s="48">
        <v>47.77</v>
      </c>
      <c r="C11" s="48">
        <v>50.61</v>
      </c>
      <c r="D11" s="48">
        <v>59.43</v>
      </c>
      <c r="E11" s="48">
        <v>63.99</v>
      </c>
      <c r="F11" s="48">
        <v>66.48</v>
      </c>
      <c r="G11" s="48">
        <v>70.72</v>
      </c>
      <c r="H11" s="48">
        <v>85.02</v>
      </c>
      <c r="I11" s="48">
        <v>93.32</v>
      </c>
      <c r="J11" s="48">
        <v>99.23</v>
      </c>
      <c r="K11" s="48">
        <v>97.85</v>
      </c>
      <c r="L11" s="46">
        <f t="shared" si="3"/>
        <v>104.34572485357826</v>
      </c>
      <c r="M11" s="46">
        <f t="shared" si="3"/>
        <v>111.27266525517281</v>
      </c>
      <c r="N11" s="46">
        <f t="shared" si="3"/>
        <v>118.65944724006724</v>
      </c>
      <c r="O11" s="46">
        <f t="shared" si="3"/>
        <v>126.53659716903161</v>
      </c>
      <c r="P11" s="46">
        <f t="shared" si="3"/>
        <v>134.93666788050936</v>
      </c>
      <c r="Q11" s="41"/>
    </row>
    <row r="12" spans="1:18" ht="14.25" customHeight="1">
      <c r="A12" s="42" t="s">
        <v>102</v>
      </c>
      <c r="B12" s="48">
        <v>431.89</v>
      </c>
      <c r="C12" s="48">
        <v>425.3</v>
      </c>
      <c r="D12" s="48">
        <v>461.13</v>
      </c>
      <c r="E12" s="48">
        <v>572.33000000000004</v>
      </c>
      <c r="F12" s="48">
        <v>578.26</v>
      </c>
      <c r="G12" s="48">
        <v>655.82</v>
      </c>
      <c r="H12" s="48">
        <v>678.71</v>
      </c>
      <c r="I12" s="48">
        <v>725.96</v>
      </c>
      <c r="J12" s="48">
        <v>782.14</v>
      </c>
      <c r="K12" s="48">
        <v>776.86</v>
      </c>
      <c r="L12" s="46">
        <f t="shared" si="3"/>
        <v>828.43147480583355</v>
      </c>
      <c r="M12" s="46">
        <f t="shared" si="3"/>
        <v>883.42649698654634</v>
      </c>
      <c r="N12" s="46">
        <f t="shared" si="3"/>
        <v>942.07233707632759</v>
      </c>
      <c r="O12" s="46">
        <f t="shared" si="3"/>
        <v>1004.6113528536936</v>
      </c>
      <c r="P12" s="46">
        <f t="shared" si="3"/>
        <v>1071.3019909008947</v>
      </c>
      <c r="Q12" s="41"/>
    </row>
    <row r="13" spans="1:18" ht="14.25" customHeight="1">
      <c r="A13" s="42" t="s">
        <v>103</v>
      </c>
      <c r="B13" s="48">
        <v>716.49</v>
      </c>
      <c r="C13" s="48">
        <v>732.62</v>
      </c>
      <c r="D13" s="48">
        <v>756.51</v>
      </c>
      <c r="E13" s="48">
        <v>804.04</v>
      </c>
      <c r="F13" s="48">
        <v>854.86</v>
      </c>
      <c r="G13" s="48">
        <v>880.46</v>
      </c>
      <c r="H13" s="47">
        <v>1049.95</v>
      </c>
      <c r="I13" s="47">
        <v>1199.0999999999999</v>
      </c>
      <c r="J13" s="47">
        <v>1192.5999999999999</v>
      </c>
      <c r="K13" s="47">
        <v>1165.1600000000001</v>
      </c>
      <c r="L13" s="46">
        <f t="shared" si="3"/>
        <v>1242.5085822217195</v>
      </c>
      <c r="M13" s="46">
        <f t="shared" si="3"/>
        <v>1324.9919126082491</v>
      </c>
      <c r="N13" s="46">
        <f t="shared" si="3"/>
        <v>1412.9508589293487</v>
      </c>
      <c r="O13" s="46">
        <f t="shared" si="3"/>
        <v>1506.748917296565</v>
      </c>
      <c r="P13" s="46">
        <f t="shared" si="3"/>
        <v>1606.7737143347401</v>
      </c>
      <c r="Q13" s="41"/>
    </row>
    <row r="14" spans="1:18" ht="14.25" customHeight="1">
      <c r="A14" s="42" t="s">
        <v>104</v>
      </c>
      <c r="B14" s="48">
        <v>733.72</v>
      </c>
      <c r="C14" s="48">
        <v>748.55</v>
      </c>
      <c r="D14" s="48">
        <v>776.29</v>
      </c>
      <c r="E14" s="48">
        <v>835</v>
      </c>
      <c r="F14" s="48">
        <v>847.58</v>
      </c>
      <c r="G14" s="47">
        <v>1002.15</v>
      </c>
      <c r="H14" s="47">
        <v>1068.6199999999999</v>
      </c>
      <c r="I14" s="47">
        <v>1021.29</v>
      </c>
      <c r="J14" s="47">
        <v>1228.56</v>
      </c>
      <c r="K14" s="47">
        <v>1267.24</v>
      </c>
      <c r="L14" s="46">
        <f t="shared" si="3"/>
        <v>1351.3651135763773</v>
      </c>
      <c r="M14" s="46">
        <f t="shared" si="3"/>
        <v>1441.0748320691384</v>
      </c>
      <c r="N14" s="46">
        <f t="shared" si="3"/>
        <v>1536.7398867705961</v>
      </c>
      <c r="O14" s="46">
        <f t="shared" si="3"/>
        <v>1638.7556197903284</v>
      </c>
      <c r="P14" s="46">
        <f t="shared" si="3"/>
        <v>1747.543617832363</v>
      </c>
      <c r="Q14" s="41"/>
    </row>
    <row r="15" spans="1:18" ht="14.25" customHeight="1">
      <c r="A15" s="42" t="s">
        <v>106</v>
      </c>
      <c r="B15" s="49">
        <f t="shared" ref="B15:K15" si="4">SUM(B10:B14)</f>
        <v>4080.46</v>
      </c>
      <c r="C15" s="49">
        <f t="shared" si="4"/>
        <v>4086.25</v>
      </c>
      <c r="D15" s="49">
        <f t="shared" si="4"/>
        <v>4334.58</v>
      </c>
      <c r="E15" s="49">
        <f t="shared" si="4"/>
        <v>4786.59</v>
      </c>
      <c r="F15" s="49">
        <f t="shared" si="4"/>
        <v>4878.3600000000006</v>
      </c>
      <c r="G15" s="49">
        <f t="shared" si="4"/>
        <v>5674.43</v>
      </c>
      <c r="H15" s="49">
        <f t="shared" si="4"/>
        <v>6326.85</v>
      </c>
      <c r="I15" s="49">
        <f t="shared" si="4"/>
        <v>6837.4100000000008</v>
      </c>
      <c r="J15" s="49">
        <f t="shared" si="4"/>
        <v>7099.7999999999993</v>
      </c>
      <c r="K15" s="49">
        <f t="shared" si="4"/>
        <v>7203.3499999999995</v>
      </c>
      <c r="L15" s="50">
        <f t="shared" si="3"/>
        <v>7681.5409006031978</v>
      </c>
      <c r="M15" s="46">
        <f t="shared" si="3"/>
        <v>8191.4762725176188</v>
      </c>
      <c r="N15" s="46">
        <f t="shared" si="3"/>
        <v>8735.2634570949231</v>
      </c>
      <c r="O15" s="46">
        <f t="shared" si="3"/>
        <v>9315.1496905216518</v>
      </c>
      <c r="P15" s="46">
        <f t="shared" si="3"/>
        <v>9933.5313906700758</v>
      </c>
      <c r="Q15" s="41"/>
    </row>
    <row r="16" spans="1:18" ht="14.25" customHeight="1">
      <c r="A16" s="42" t="s">
        <v>142</v>
      </c>
      <c r="B16" s="45"/>
      <c r="C16" s="45">
        <f t="shared" ref="C16:K16" si="5">(C15-B15)/B15</f>
        <v>1.4189576665375873E-3</v>
      </c>
      <c r="D16" s="45">
        <f t="shared" si="5"/>
        <v>6.0772101560110106E-2</v>
      </c>
      <c r="E16" s="45">
        <f t="shared" si="5"/>
        <v>0.10427999944631319</v>
      </c>
      <c r="F16" s="45">
        <f t="shared" si="5"/>
        <v>1.9172312648461729E-2</v>
      </c>
      <c r="G16" s="45">
        <f t="shared" si="5"/>
        <v>0.16318393886470034</v>
      </c>
      <c r="H16" s="45">
        <f t="shared" si="5"/>
        <v>0.11497542484443372</v>
      </c>
      <c r="I16" s="45">
        <f t="shared" si="5"/>
        <v>8.0697345440464113E-2</v>
      </c>
      <c r="J16" s="45">
        <f t="shared" si="5"/>
        <v>3.8375642238800724E-2</v>
      </c>
      <c r="K16" s="45">
        <f t="shared" si="5"/>
        <v>1.4584917885010873E-2</v>
      </c>
      <c r="L16" s="46"/>
      <c r="M16" s="46"/>
      <c r="N16" s="46"/>
      <c r="O16" s="46"/>
      <c r="P16" s="46"/>
      <c r="Q16" s="52">
        <f>AVERAGE(C16:K16)</f>
        <v>6.6384515621648044E-2</v>
      </c>
      <c r="R16" t="s">
        <v>143</v>
      </c>
    </row>
    <row r="17" spans="1:29" ht="14.25" customHeight="1">
      <c r="A17" s="42" t="s">
        <v>107</v>
      </c>
      <c r="B17" s="49">
        <f t="shared" ref="B17:K17" si="6">B8-B15</f>
        <v>1365.88</v>
      </c>
      <c r="C17" s="49">
        <f t="shared" si="6"/>
        <v>1291.7799999999997</v>
      </c>
      <c r="D17" s="49">
        <f t="shared" si="6"/>
        <v>1348.5100000000002</v>
      </c>
      <c r="E17" s="49">
        <f t="shared" si="6"/>
        <v>1476.5099999999993</v>
      </c>
      <c r="F17" s="49">
        <f t="shared" si="6"/>
        <v>1501.33</v>
      </c>
      <c r="G17" s="49">
        <f t="shared" si="6"/>
        <v>1687.0099999999993</v>
      </c>
      <c r="H17" s="49">
        <f t="shared" si="6"/>
        <v>1881.1399999999994</v>
      </c>
      <c r="I17" s="49">
        <f t="shared" si="6"/>
        <v>1871.9199999999992</v>
      </c>
      <c r="J17" s="49">
        <f t="shared" si="6"/>
        <v>1986.6200000000008</v>
      </c>
      <c r="K17" s="49">
        <f t="shared" si="6"/>
        <v>1854.46</v>
      </c>
      <c r="L17" s="46">
        <f>K17*(1+$Q$18)</f>
        <v>1922.4554172043947</v>
      </c>
      <c r="M17" s="46">
        <f>L17*(1+$Q$18)</f>
        <v>1992.9439465604669</v>
      </c>
      <c r="N17" s="46">
        <f>M17*(1+$Q$18)</f>
        <v>2066.0170002318059</v>
      </c>
      <c r="O17" s="46">
        <f>N17*(1+$Q$18)</f>
        <v>2141.769342089885</v>
      </c>
      <c r="P17" s="46">
        <f>O17*(1+$Q$18)</f>
        <v>2220.2992106073962</v>
      </c>
      <c r="Q17" s="41"/>
    </row>
    <row r="18" spans="1:29" ht="14.25" customHeight="1">
      <c r="A18" s="42" t="s">
        <v>142</v>
      </c>
      <c r="B18" s="45"/>
      <c r="C18" s="45">
        <f t="shared" ref="C18:K18" si="7">(C17-B17)/B17</f>
        <v>-5.4250739450025155E-2</v>
      </c>
      <c r="D18" s="45">
        <f t="shared" si="7"/>
        <v>4.3916146712288842E-2</v>
      </c>
      <c r="E18" s="45">
        <f t="shared" si="7"/>
        <v>9.4919577904501312E-2</v>
      </c>
      <c r="F18" s="45">
        <f t="shared" si="7"/>
        <v>1.6809909854996329E-2</v>
      </c>
      <c r="G18" s="45">
        <f t="shared" si="7"/>
        <v>0.12367700638766919</v>
      </c>
      <c r="H18" s="45">
        <f t="shared" si="7"/>
        <v>0.11507341390981689</v>
      </c>
      <c r="I18" s="45">
        <f t="shared" si="7"/>
        <v>-4.9012832644036372E-3</v>
      </c>
      <c r="J18" s="45">
        <f t="shared" si="7"/>
        <v>6.1273986067781575E-2</v>
      </c>
      <c r="K18" s="45">
        <f t="shared" si="7"/>
        <v>-6.6525052601907109E-2</v>
      </c>
      <c r="L18" s="46"/>
      <c r="M18" s="46"/>
      <c r="N18" s="46"/>
      <c r="O18" s="46"/>
      <c r="P18" s="46"/>
      <c r="Q18" s="52">
        <f>AVERAGE(C18:K18)</f>
        <v>3.6665885057857582E-2</v>
      </c>
      <c r="AC18" t="s">
        <v>144</v>
      </c>
    </row>
    <row r="19" spans="1:29" ht="14.25" customHeight="1">
      <c r="A19" s="42" t="s">
        <v>108</v>
      </c>
      <c r="B19" s="48">
        <v>10.26</v>
      </c>
      <c r="C19" s="48">
        <v>16.23</v>
      </c>
      <c r="D19" s="48">
        <v>21.89</v>
      </c>
      <c r="E19" s="48">
        <v>29.8</v>
      </c>
      <c r="F19" s="48">
        <v>19.27</v>
      </c>
      <c r="G19" s="48">
        <v>9.14</v>
      </c>
      <c r="H19" s="48">
        <v>18.670000000000002</v>
      </c>
      <c r="I19" s="48">
        <v>46.37</v>
      </c>
      <c r="J19" s="48">
        <v>81.14</v>
      </c>
      <c r="K19" s="48">
        <v>99.58</v>
      </c>
      <c r="L19" s="46">
        <f>K19*(1+$Q$20)</f>
        <v>142.91223879401483</v>
      </c>
      <c r="M19" s="46">
        <f>L19*(1+$Q$20)</f>
        <v>205.1005020799108</v>
      </c>
      <c r="N19" s="46">
        <f>M19*(1+$Q$20)</f>
        <v>294.34998925503663</v>
      </c>
      <c r="O19" s="46">
        <f>N19*(1+$Q$20)</f>
        <v>422.43639238232072</v>
      </c>
      <c r="P19" s="46">
        <f>O19*(1+$Q$20)</f>
        <v>606.25959613802343</v>
      </c>
      <c r="Q19" s="41"/>
    </row>
    <row r="20" spans="1:29" ht="14.25" customHeight="1">
      <c r="A20" s="42" t="s">
        <v>142</v>
      </c>
      <c r="B20" s="45"/>
      <c r="C20" s="45">
        <f t="shared" ref="C20:K20" si="8">(C19-B19)/B19</f>
        <v>0.58187134502923987</v>
      </c>
      <c r="D20" s="45">
        <f t="shared" si="8"/>
        <v>0.34873690696241527</v>
      </c>
      <c r="E20" s="45">
        <f t="shared" si="8"/>
        <v>0.36135221562357239</v>
      </c>
      <c r="F20" s="45">
        <f t="shared" si="8"/>
        <v>-0.35335570469798661</v>
      </c>
      <c r="G20" s="45">
        <f t="shared" si="8"/>
        <v>-0.52568759730150494</v>
      </c>
      <c r="H20" s="45">
        <f t="shared" si="8"/>
        <v>1.0426695842450766</v>
      </c>
      <c r="I20" s="45">
        <f t="shared" si="8"/>
        <v>1.4836636314943756</v>
      </c>
      <c r="J20" s="45">
        <f t="shared" si="8"/>
        <v>0.74983825749406952</v>
      </c>
      <c r="K20" s="45">
        <f t="shared" si="8"/>
        <v>0.22726152329307367</v>
      </c>
      <c r="L20" s="46"/>
      <c r="M20" s="46"/>
      <c r="N20" s="46"/>
      <c r="O20" s="46"/>
      <c r="P20" s="46"/>
      <c r="Q20" s="52">
        <f>AVERAGE(C20:K20)</f>
        <v>0.43515001801581465</v>
      </c>
    </row>
    <row r="21" spans="1:29" ht="14.25" customHeight="1">
      <c r="A21" s="42" t="s">
        <v>109</v>
      </c>
      <c r="B21" s="47">
        <v>1282.18</v>
      </c>
      <c r="C21" s="47">
        <v>1369.78</v>
      </c>
      <c r="D21" s="47">
        <v>1475.63</v>
      </c>
      <c r="E21" s="47">
        <v>1612.18</v>
      </c>
      <c r="F21" s="47">
        <v>1538.4</v>
      </c>
      <c r="G21" s="47">
        <v>1826.71</v>
      </c>
      <c r="H21" s="47">
        <v>2056.6999999999998</v>
      </c>
      <c r="I21" s="47">
        <v>2016.96</v>
      </c>
      <c r="J21" s="47">
        <v>2175.56</v>
      </c>
      <c r="K21" s="47">
        <v>2059.27</v>
      </c>
      <c r="L21" s="46">
        <f>K21*(1+$Q$22)</f>
        <v>2176.314322631039</v>
      </c>
      <c r="M21" s="46">
        <f>L21*(1+$Q$22)</f>
        <v>2300.0111840064674</v>
      </c>
      <c r="N21" s="46">
        <f>M21*(1+$Q$22)</f>
        <v>2430.738699619209</v>
      </c>
      <c r="O21" s="46">
        <f>N21*(1+$Q$22)</f>
        <v>2568.8964762050782</v>
      </c>
      <c r="P21" s="46">
        <f>O21*(1+$Q$22)</f>
        <v>2714.9068332571824</v>
      </c>
      <c r="Q21" s="41"/>
    </row>
    <row r="22" spans="1:29" ht="14.25" customHeight="1">
      <c r="A22" s="42" t="s">
        <v>142</v>
      </c>
      <c r="B22" s="45"/>
      <c r="C22" s="45">
        <f t="shared" ref="C22:K22" si="9">(C21-B21)/B21</f>
        <v>6.8321140557487947E-2</v>
      </c>
      <c r="D22" s="45">
        <f t="shared" si="9"/>
        <v>7.7275182876082385E-2</v>
      </c>
      <c r="E22" s="45">
        <f t="shared" si="9"/>
        <v>9.2536747016528489E-2</v>
      </c>
      <c r="F22" s="45">
        <f t="shared" si="9"/>
        <v>-4.5764120631691232E-2</v>
      </c>
      <c r="G22" s="45">
        <f t="shared" si="9"/>
        <v>0.18740899635985434</v>
      </c>
      <c r="H22" s="45">
        <f t="shared" si="9"/>
        <v>0.12590394753409123</v>
      </c>
      <c r="I22" s="45">
        <f t="shared" si="9"/>
        <v>-1.9322215199105257E-2</v>
      </c>
      <c r="J22" s="45">
        <f t="shared" si="9"/>
        <v>7.8633190544185258E-2</v>
      </c>
      <c r="K22" s="45">
        <f t="shared" si="9"/>
        <v>-5.3452904079869079E-2</v>
      </c>
      <c r="L22" s="46"/>
      <c r="M22" s="46"/>
      <c r="N22" s="46"/>
      <c r="O22" s="46"/>
      <c r="P22" s="46"/>
      <c r="Q22" s="52">
        <f>AVERAGE(C22:K22)</f>
        <v>5.6837773886396006E-2</v>
      </c>
    </row>
    <row r="23" spans="1:29" ht="14.25" customHeight="1">
      <c r="A23" s="42" t="s">
        <v>110</v>
      </c>
      <c r="B23" s="48">
        <v>72.83</v>
      </c>
      <c r="C23" s="48">
        <v>75.430000000000007</v>
      </c>
      <c r="D23" s="48">
        <v>102.5</v>
      </c>
      <c r="E23" s="48">
        <v>108.83</v>
      </c>
      <c r="F23" s="48">
        <v>129.93</v>
      </c>
      <c r="G23" s="48">
        <v>143.4</v>
      </c>
      <c r="H23" s="48">
        <v>160.38999999999999</v>
      </c>
      <c r="I23" s="48">
        <v>188.29</v>
      </c>
      <c r="J23" s="48">
        <v>208.86</v>
      </c>
      <c r="K23" s="48">
        <v>250.93</v>
      </c>
      <c r="L23" s="46">
        <f>K23*(1+$Q$24)</f>
        <v>288.76430426000104</v>
      </c>
      <c r="M23" s="46">
        <f>L23*(1+$Q$24)</f>
        <v>332.30312603021736</v>
      </c>
      <c r="N23" s="46">
        <f>M23*(1+$Q$24)</f>
        <v>382.40657152010181</v>
      </c>
      <c r="O23" s="46">
        <f>N23*(1+$Q$24)</f>
        <v>440.06443059600093</v>
      </c>
      <c r="P23" s="46">
        <f>O23*(1+$Q$24)</f>
        <v>506.41573000688521</v>
      </c>
      <c r="Q23" s="41"/>
    </row>
    <row r="24" spans="1:29" ht="14.25" customHeight="1">
      <c r="A24" s="42" t="s">
        <v>142</v>
      </c>
      <c r="B24" s="48"/>
      <c r="C24" s="48">
        <f t="shared" ref="C24:K24" si="10">(C23-B23)/B23</f>
        <v>3.5699574351229009E-2</v>
      </c>
      <c r="D24" s="48">
        <f t="shared" si="10"/>
        <v>0.35887577886782435</v>
      </c>
      <c r="E24" s="48">
        <f t="shared" si="10"/>
        <v>6.1756097560975595E-2</v>
      </c>
      <c r="F24" s="48">
        <f t="shared" si="10"/>
        <v>0.19388036387025645</v>
      </c>
      <c r="G24" s="48">
        <f t="shared" si="10"/>
        <v>0.10367120757330869</v>
      </c>
      <c r="H24" s="48">
        <f t="shared" si="10"/>
        <v>0.11847977684797754</v>
      </c>
      <c r="I24" s="48">
        <f t="shared" si="10"/>
        <v>0.17395099445102569</v>
      </c>
      <c r="J24" s="48">
        <f t="shared" si="10"/>
        <v>0.10924637527218664</v>
      </c>
      <c r="K24" s="48">
        <f t="shared" si="10"/>
        <v>0.20142679306712627</v>
      </c>
      <c r="L24" s="46"/>
      <c r="M24" s="46"/>
      <c r="N24" s="46"/>
      <c r="O24" s="46"/>
      <c r="P24" s="46"/>
      <c r="Q24" s="52">
        <f>AVERAGE(C24:K24)</f>
        <v>0.15077632909576782</v>
      </c>
    </row>
    <row r="25" spans="1:29" ht="14.25" customHeight="1">
      <c r="A25" s="42" t="s">
        <v>111</v>
      </c>
      <c r="B25" s="47">
        <v>1209.3499999999999</v>
      </c>
      <c r="C25" s="47">
        <v>1294.3499999999999</v>
      </c>
      <c r="D25" s="47">
        <v>1373.13</v>
      </c>
      <c r="E25" s="47">
        <v>1503.35</v>
      </c>
      <c r="F25" s="47">
        <v>1408.47</v>
      </c>
      <c r="G25" s="47">
        <v>1683.31</v>
      </c>
      <c r="H25" s="47">
        <v>1896.31</v>
      </c>
      <c r="I25" s="47">
        <v>1828.67</v>
      </c>
      <c r="J25" s="47">
        <v>1966.7</v>
      </c>
      <c r="K25" s="47">
        <v>1808.34</v>
      </c>
      <c r="L25" s="46">
        <f>L21-L23</f>
        <v>1887.5500183710378</v>
      </c>
      <c r="M25" s="46">
        <f>M21-M23</f>
        <v>1967.7080579762501</v>
      </c>
      <c r="N25" s="46">
        <f>N21-N23</f>
        <v>2048.3321280991072</v>
      </c>
      <c r="O25" s="46">
        <f>O21-O23</f>
        <v>2128.8320456090773</v>
      </c>
      <c r="P25" s="46">
        <f>P21-P23</f>
        <v>2208.4911032502973</v>
      </c>
      <c r="Q25" s="41"/>
    </row>
    <row r="26" spans="1:29" ht="14.25" customHeight="1">
      <c r="A26" s="42" t="s">
        <v>112</v>
      </c>
      <c r="B26" s="48">
        <v>259.11</v>
      </c>
      <c r="C26" s="48">
        <v>310.83</v>
      </c>
      <c r="D26" s="48">
        <v>340.33</v>
      </c>
      <c r="E26" s="48">
        <v>369.28</v>
      </c>
      <c r="F26" s="48">
        <v>425.4</v>
      </c>
      <c r="G26" s="48">
        <v>299.75</v>
      </c>
      <c r="H26" s="48">
        <v>378.97</v>
      </c>
      <c r="I26" s="48">
        <v>423.86</v>
      </c>
      <c r="J26" s="48">
        <v>443.8</v>
      </c>
      <c r="K26" s="48">
        <v>393.12</v>
      </c>
      <c r="L26" s="46">
        <f>L25*(1+$Q$27)</f>
        <v>2322.1906319859199</v>
      </c>
      <c r="M26" s="46">
        <f>M25*(1+$Q$27)</f>
        <v>2420.8064285676824</v>
      </c>
      <c r="N26" s="46">
        <f>N25*(1+$Q$27)</f>
        <v>2519.9955671492653</v>
      </c>
      <c r="O26" s="46">
        <f>O25*(1+$Q$27)</f>
        <v>2619.0319648594668</v>
      </c>
      <c r="P26" s="46">
        <f>P25*(1+$Q$27)</f>
        <v>2717.0338803620339</v>
      </c>
      <c r="Q26" s="41"/>
    </row>
    <row r="27" spans="1:29" ht="14.25" customHeight="1">
      <c r="A27" s="42" t="s">
        <v>145</v>
      </c>
      <c r="B27" s="45">
        <f t="shared" ref="B27:K27" si="11">B26/B25</f>
        <v>0.21425559184685991</v>
      </c>
      <c r="C27" s="45">
        <f t="shared" si="11"/>
        <v>0.24014370147178121</v>
      </c>
      <c r="D27" s="45">
        <f t="shared" si="11"/>
        <v>0.2478498030048138</v>
      </c>
      <c r="E27" s="45">
        <f t="shared" si="11"/>
        <v>0.24563807496590948</v>
      </c>
      <c r="F27" s="45">
        <f t="shared" si="11"/>
        <v>0.30202986219088795</v>
      </c>
      <c r="G27" s="45">
        <f t="shared" si="11"/>
        <v>0.17807177525233023</v>
      </c>
      <c r="H27" s="45">
        <f t="shared" si="11"/>
        <v>0.19984601673776969</v>
      </c>
      <c r="I27" s="45">
        <f t="shared" si="11"/>
        <v>0.23178594278902154</v>
      </c>
      <c r="J27" s="45">
        <f t="shared" si="11"/>
        <v>0.2256571922509788</v>
      </c>
      <c r="K27" s="45">
        <f t="shared" si="11"/>
        <v>0.21739274693918181</v>
      </c>
      <c r="L27" s="46"/>
      <c r="M27" s="46"/>
      <c r="N27" s="46"/>
      <c r="O27" s="46"/>
      <c r="P27" s="46"/>
      <c r="Q27" s="52">
        <f>AVERAGE(B27:K27)</f>
        <v>0.23026707074495339</v>
      </c>
    </row>
    <row r="28" spans="1:29" ht="14.25" customHeight="1">
      <c r="A28" s="42" t="s">
        <v>113</v>
      </c>
      <c r="B28" s="48">
        <v>12.98</v>
      </c>
      <c r="C28" s="48">
        <v>-14.81</v>
      </c>
      <c r="D28" s="48">
        <v>-39.25</v>
      </c>
      <c r="E28" s="48">
        <v>-130.22</v>
      </c>
      <c r="F28" s="48">
        <v>-187.28</v>
      </c>
      <c r="G28" s="48">
        <v>1.67</v>
      </c>
      <c r="H28" s="48">
        <v>84.41</v>
      </c>
      <c r="I28" s="48">
        <v>31.55</v>
      </c>
      <c r="J28" s="48">
        <v>13.69</v>
      </c>
      <c r="K28" s="48">
        <v>12</v>
      </c>
      <c r="L28" s="46">
        <f>K28*(1+$Q$29)</f>
        <v>77.980492425988245</v>
      </c>
      <c r="M28" s="46">
        <f>L28*(1+$Q$29)</f>
        <v>506.74643324996748</v>
      </c>
      <c r="N28" s="46">
        <f>M28*(1+$Q$29)</f>
        <v>3293.0280333288038</v>
      </c>
      <c r="O28" s="46">
        <f>N28*(1+$Q$29)</f>
        <v>21399.32896763031</v>
      </c>
      <c r="P28" s="46">
        <f>O28*(1+$Q$29)</f>
        <v>139060.8508734605</v>
      </c>
      <c r="Q28" s="41"/>
    </row>
    <row r="29" spans="1:29" ht="14.25" customHeight="1">
      <c r="A29" s="42" t="s">
        <v>142</v>
      </c>
      <c r="B29" s="45"/>
      <c r="C29" s="45">
        <f t="shared" ref="C29:K29" si="12">(C28-B28)/B28</f>
        <v>-2.1409861325115562</v>
      </c>
      <c r="D29" s="45">
        <f t="shared" si="12"/>
        <v>1.6502363268062119</v>
      </c>
      <c r="E29" s="45">
        <f t="shared" si="12"/>
        <v>2.3177070063694267</v>
      </c>
      <c r="F29" s="45">
        <f t="shared" si="12"/>
        <v>0.43818153893411155</v>
      </c>
      <c r="G29" s="45">
        <f t="shared" si="12"/>
        <v>-1.0089171294318666</v>
      </c>
      <c r="H29" s="45">
        <f t="shared" si="12"/>
        <v>49.544910179640716</v>
      </c>
      <c r="I29" s="45">
        <f t="shared" si="12"/>
        <v>-0.62622911977253881</v>
      </c>
      <c r="J29" s="45">
        <f t="shared" si="12"/>
        <v>-0.56608557844690965</v>
      </c>
      <c r="K29" s="45">
        <f t="shared" si="12"/>
        <v>-0.12344777209642072</v>
      </c>
      <c r="L29" s="46"/>
      <c r="M29" s="46"/>
      <c r="N29" s="46"/>
      <c r="O29" s="46"/>
      <c r="P29" s="46"/>
      <c r="Q29" s="52">
        <f>AVERAGE(C29:K29)</f>
        <v>5.4983743688323532</v>
      </c>
    </row>
    <row r="30" spans="1:29" ht="14.25" customHeight="1">
      <c r="A30" s="42" t="s">
        <v>114</v>
      </c>
      <c r="B30" s="49">
        <f t="shared" ref="B30:K30" si="13">B25-B26</f>
        <v>950.2399999999999</v>
      </c>
      <c r="C30" s="49">
        <f t="shared" si="13"/>
        <v>983.52</v>
      </c>
      <c r="D30" s="49">
        <f t="shared" si="13"/>
        <v>1032.8000000000002</v>
      </c>
      <c r="E30" s="49">
        <f t="shared" si="13"/>
        <v>1134.07</v>
      </c>
      <c r="F30" s="49">
        <f t="shared" si="13"/>
        <v>983.07</v>
      </c>
      <c r="G30" s="49">
        <f t="shared" si="13"/>
        <v>1383.56</v>
      </c>
      <c r="H30" s="49">
        <f t="shared" si="13"/>
        <v>1517.34</v>
      </c>
      <c r="I30" s="49">
        <f t="shared" si="13"/>
        <v>1404.81</v>
      </c>
      <c r="J30" s="49">
        <f t="shared" si="13"/>
        <v>1522.9</v>
      </c>
      <c r="K30" s="49">
        <f t="shared" si="13"/>
        <v>1415.2199999999998</v>
      </c>
      <c r="L30" s="46">
        <f>L25+L26+L28</f>
        <v>4287.7211427829461</v>
      </c>
      <c r="M30" s="46">
        <f>M25+M26+M28</f>
        <v>4895.2609197939</v>
      </c>
      <c r="N30" s="46">
        <f>N25+N26+N28</f>
        <v>7861.3557285771758</v>
      </c>
      <c r="O30" s="46">
        <f>O25+O26+O28</f>
        <v>26147.192978098854</v>
      </c>
      <c r="P30" s="46">
        <f>P25+P26+P28</f>
        <v>143986.37585707282</v>
      </c>
      <c r="Q30" s="41"/>
    </row>
    <row r="31" spans="1:29" ht="14.25" customHeight="1">
      <c r="A31" s="42" t="s">
        <v>115</v>
      </c>
      <c r="B31" s="48">
        <v>20.3</v>
      </c>
      <c r="C31" s="48">
        <v>-0.65</v>
      </c>
      <c r="D31" s="48">
        <v>-9.1199999999999992</v>
      </c>
      <c r="E31" s="48">
        <v>0.67</v>
      </c>
      <c r="F31" s="48">
        <v>-69.72</v>
      </c>
      <c r="G31" s="48">
        <v>0.62</v>
      </c>
      <c r="H31" s="48">
        <v>-0.51</v>
      </c>
      <c r="I31" s="48">
        <v>-9.85</v>
      </c>
      <c r="J31" s="48">
        <v>-1.03</v>
      </c>
      <c r="K31" s="48">
        <v>-0.99</v>
      </c>
      <c r="L31" s="46">
        <f>K31*(1+$Q$32)</f>
        <v>7.7645074287766711</v>
      </c>
      <c r="M31" s="46">
        <f>L31*(1+$Q$32)</f>
        <v>-60.89654102174557</v>
      </c>
      <c r="N31" s="46">
        <f>M31*(1+$Q$32)</f>
        <v>477.60772237388562</v>
      </c>
      <c r="O31" s="46">
        <f>N31*(1+$Q$32)</f>
        <v>-3745.847180215294</v>
      </c>
      <c r="P31" s="46">
        <f>O31*(1+$Q$32)</f>
        <v>29378.442684690704</v>
      </c>
      <c r="Q31" s="41"/>
    </row>
    <row r="32" spans="1:29" ht="14.25" customHeight="1">
      <c r="A32" s="42" t="s">
        <v>142</v>
      </c>
      <c r="B32" s="45"/>
      <c r="C32" s="45">
        <f t="shared" ref="C32:K32" si="14">(C31-B31)/B31</f>
        <v>-1.0320197044334976</v>
      </c>
      <c r="D32" s="45">
        <f t="shared" si="14"/>
        <v>13.030769230769229</v>
      </c>
      <c r="E32" s="45">
        <f t="shared" si="14"/>
        <v>-1.0734649122807018</v>
      </c>
      <c r="F32" s="45">
        <f t="shared" si="14"/>
        <v>-105.05970149253731</v>
      </c>
      <c r="G32" s="45">
        <f t="shared" si="14"/>
        <v>-1.008892713711991</v>
      </c>
      <c r="H32" s="45">
        <f t="shared" si="14"/>
        <v>-1.8225806451612903</v>
      </c>
      <c r="I32" s="45">
        <f t="shared" si="14"/>
        <v>18.313725490196077</v>
      </c>
      <c r="J32" s="45">
        <f t="shared" si="14"/>
        <v>-0.89543147208121832</v>
      </c>
      <c r="K32" s="45">
        <f t="shared" si="14"/>
        <v>-3.8834951456310711E-2</v>
      </c>
      <c r="L32" s="46"/>
      <c r="M32" s="46"/>
      <c r="N32" s="46"/>
      <c r="O32" s="46"/>
      <c r="P32" s="46"/>
      <c r="Q32" s="52">
        <f>AVERAGE(C32:K32)</f>
        <v>-8.8429367967441124</v>
      </c>
    </row>
    <row r="33" spans="1:17" ht="14.25" customHeight="1">
      <c r="A33" s="42" t="s">
        <v>116</v>
      </c>
      <c r="B33" s="48">
        <v>916.96</v>
      </c>
      <c r="C33" s="48">
        <v>998.98</v>
      </c>
      <c r="D33" s="47">
        <v>1081.17</v>
      </c>
      <c r="E33" s="47">
        <v>1263.6199999999999</v>
      </c>
      <c r="F33" s="47">
        <v>1240.07</v>
      </c>
      <c r="G33" s="47">
        <v>1381.27</v>
      </c>
      <c r="H33" s="47">
        <v>1433.44</v>
      </c>
      <c r="I33" s="47">
        <v>1383.11</v>
      </c>
      <c r="J33" s="47">
        <v>1510.24</v>
      </c>
      <c r="K33" s="47">
        <v>1404.21</v>
      </c>
      <c r="L33" s="46">
        <f>L30-L31</f>
        <v>4279.9566353541695</v>
      </c>
      <c r="M33" s="46">
        <f>M30-M31</f>
        <v>4956.1574608156452</v>
      </c>
      <c r="N33" s="46">
        <f>N30-N31</f>
        <v>7383.7480062032901</v>
      </c>
      <c r="O33" s="46">
        <f>O30-O31</f>
        <v>29893.040158314147</v>
      </c>
      <c r="P33" s="46">
        <f>P30-P31</f>
        <v>114607.93317238212</v>
      </c>
      <c r="Q33" s="41"/>
    </row>
    <row r="34" spans="1:17" ht="14.25" customHeight="1">
      <c r="A34" s="42" t="s">
        <v>121</v>
      </c>
      <c r="B34" s="48">
        <v>423.2</v>
      </c>
      <c r="C34" s="48">
        <v>220.19</v>
      </c>
      <c r="D34" s="48">
        <v>220.19</v>
      </c>
      <c r="E34" s="48">
        <v>220.79</v>
      </c>
      <c r="F34" s="48">
        <v>247.39</v>
      </c>
      <c r="G34" s="48">
        <v>309.3</v>
      </c>
      <c r="H34" s="48">
        <v>0</v>
      </c>
      <c r="I34" s="48">
        <v>0</v>
      </c>
      <c r="J34" s="48">
        <v>0</v>
      </c>
      <c r="K34" s="48">
        <v>0</v>
      </c>
      <c r="L34" s="46"/>
      <c r="M34" s="46"/>
      <c r="N34" s="46"/>
      <c r="O34" s="46"/>
      <c r="P34" s="46"/>
      <c r="Q34" s="41"/>
    </row>
    <row r="35" spans="1:17" ht="14.25" customHeight="1">
      <c r="A35" s="42" t="s">
        <v>142</v>
      </c>
      <c r="B35" s="48"/>
      <c r="C35" s="48">
        <f t="shared" ref="C35:K35" si="15">(C34-B34)/B34</f>
        <v>-0.47970226843100189</v>
      </c>
      <c r="D35" s="48">
        <f t="shared" si="15"/>
        <v>0</v>
      </c>
      <c r="E35" s="48">
        <f t="shared" si="15"/>
        <v>2.7249193878014183E-3</v>
      </c>
      <c r="F35" s="48">
        <f t="shared" si="15"/>
        <v>0.12047647085465825</v>
      </c>
      <c r="G35" s="48">
        <f t="shared" si="15"/>
        <v>0.25025263753587462</v>
      </c>
      <c r="H35" s="48">
        <f t="shared" si="15"/>
        <v>-1</v>
      </c>
      <c r="I35" s="48" t="e">
        <f t="shared" si="15"/>
        <v>#DIV/0!</v>
      </c>
      <c r="J35" s="48" t="e">
        <f t="shared" si="15"/>
        <v>#DIV/0!</v>
      </c>
      <c r="K35" s="48" t="e">
        <f t="shared" si="15"/>
        <v>#DIV/0!</v>
      </c>
      <c r="L35" s="46"/>
      <c r="M35" s="46"/>
      <c r="N35" s="46"/>
      <c r="O35" s="46"/>
      <c r="P35" s="46"/>
      <c r="Q35" s="41"/>
    </row>
    <row r="36" spans="1:17" ht="14.25" customHeight="1">
      <c r="A36" s="42" t="s">
        <v>146</v>
      </c>
      <c r="B36" s="45">
        <f t="shared" ref="B36:K36" si="16">B33-B34</f>
        <v>493.76000000000005</v>
      </c>
      <c r="C36" s="45">
        <f t="shared" si="16"/>
        <v>778.79</v>
      </c>
      <c r="D36" s="45">
        <f t="shared" si="16"/>
        <v>860.98</v>
      </c>
      <c r="E36" s="45">
        <f t="shared" si="16"/>
        <v>1042.83</v>
      </c>
      <c r="F36" s="45">
        <f t="shared" si="16"/>
        <v>992.68</v>
      </c>
      <c r="G36" s="45">
        <f t="shared" si="16"/>
        <v>1071.97</v>
      </c>
      <c r="H36" s="45">
        <f t="shared" si="16"/>
        <v>1433.44</v>
      </c>
      <c r="I36" s="45">
        <f t="shared" si="16"/>
        <v>1383.11</v>
      </c>
      <c r="J36" s="45">
        <f t="shared" si="16"/>
        <v>1510.24</v>
      </c>
      <c r="K36" s="45">
        <f t="shared" si="16"/>
        <v>1404.21</v>
      </c>
      <c r="L36" s="46"/>
      <c r="M36" s="46"/>
      <c r="N36" s="46"/>
      <c r="O36" s="46"/>
      <c r="P36" s="46"/>
      <c r="Q36" s="41"/>
    </row>
    <row r="37" spans="1:17" ht="15" customHeight="1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5"/>
    </row>
    <row r="40" spans="1:17" ht="15" customHeight="1">
      <c r="A40" s="56" t="s">
        <v>147</v>
      </c>
      <c r="B40" s="13" t="s">
        <v>148</v>
      </c>
      <c r="C40" s="13"/>
      <c r="D40" s="13"/>
      <c r="E40" s="13"/>
    </row>
    <row r="41" spans="1:17" ht="14.25" customHeight="1">
      <c r="A41" s="9" t="s">
        <v>149</v>
      </c>
      <c r="B41" s="9"/>
      <c r="C41" s="9"/>
      <c r="D41" s="9"/>
      <c r="E41" s="9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8"/>
    </row>
    <row r="42" spans="1:17" ht="14.25" customHeight="1">
      <c r="A42" s="9"/>
      <c r="B42" s="9"/>
      <c r="C42" s="9"/>
      <c r="D42" s="9"/>
      <c r="E42" s="9"/>
      <c r="P42" s="41"/>
    </row>
    <row r="43" spans="1:17" ht="14.25" customHeight="1">
      <c r="A43" s="57" t="s">
        <v>1</v>
      </c>
      <c r="B43" s="43">
        <v>2016</v>
      </c>
      <c r="C43" s="43">
        <v>2017</v>
      </c>
      <c r="D43" s="43">
        <v>2018</v>
      </c>
      <c r="E43" s="43">
        <v>2019</v>
      </c>
      <c r="F43" s="43">
        <v>2020</v>
      </c>
      <c r="G43" s="43">
        <v>2021</v>
      </c>
      <c r="H43" s="43">
        <v>2022</v>
      </c>
      <c r="I43" s="43">
        <v>2023</v>
      </c>
      <c r="J43" s="43">
        <v>2024</v>
      </c>
      <c r="K43" s="43">
        <v>2025</v>
      </c>
      <c r="L43" s="43">
        <v>2026</v>
      </c>
      <c r="M43" s="43">
        <v>2027</v>
      </c>
      <c r="N43" s="43">
        <v>2028</v>
      </c>
      <c r="O43" s="43">
        <v>2029</v>
      </c>
      <c r="P43" s="58">
        <v>2030</v>
      </c>
    </row>
    <row r="44" spans="1:17" ht="14.25" customHeight="1">
      <c r="A44" s="59" t="s">
        <v>56</v>
      </c>
      <c r="N44" s="14"/>
      <c r="O44" s="14">
        <v>2029</v>
      </c>
      <c r="P44" s="60">
        <v>2030</v>
      </c>
    </row>
    <row r="45" spans="1:17" ht="14.25" customHeight="1">
      <c r="A45" s="61" t="s">
        <v>57</v>
      </c>
      <c r="B45" s="45">
        <f>Bal.sheet!B4</f>
        <v>175.91</v>
      </c>
      <c r="C45" s="45">
        <f>Bal.sheet!C4</f>
        <v>176.15</v>
      </c>
      <c r="D45" s="45">
        <f>Bal.sheet!D4</f>
        <v>176.15</v>
      </c>
      <c r="E45" s="45">
        <f>Bal.sheet!E4</f>
        <v>176.63</v>
      </c>
      <c r="F45" s="45">
        <f>Bal.sheet!F4</f>
        <v>176.71</v>
      </c>
      <c r="G45" s="45">
        <f>Bal.sheet!G4</f>
        <v>176.74</v>
      </c>
      <c r="H45" s="45">
        <f>Bal.sheet!H4</f>
        <v>176.79</v>
      </c>
      <c r="I45" s="45">
        <f>Bal.sheet!I4</f>
        <v>177.18</v>
      </c>
      <c r="J45" s="45">
        <f>Bal.sheet!J4</f>
        <v>177.2</v>
      </c>
      <c r="K45" s="45">
        <f>Bal.sheet!K4</f>
        <v>177.23</v>
      </c>
      <c r="L45" s="46">
        <v>177.2</v>
      </c>
      <c r="M45" s="46">
        <v>177.2</v>
      </c>
      <c r="N45" s="46">
        <v>177.2</v>
      </c>
      <c r="O45" s="46">
        <v>177.2</v>
      </c>
      <c r="P45" s="62">
        <v>177.2</v>
      </c>
    </row>
    <row r="46" spans="1:17" ht="14.25" customHeight="1">
      <c r="A46" s="61" t="s">
        <v>58</v>
      </c>
      <c r="B46" s="49">
        <f>Bal.sheet!B5</f>
        <v>2918.38</v>
      </c>
      <c r="C46" s="49">
        <f>Bal.sheet!C5</f>
        <v>3481.73</v>
      </c>
      <c r="D46" s="49">
        <f>Bal.sheet!D5</f>
        <v>4050.71</v>
      </c>
      <c r="E46" s="49">
        <f>Bal.sheet!E5</f>
        <v>3792.19</v>
      </c>
      <c r="F46" s="49">
        <f>Bal.sheet!F5</f>
        <v>4397.5200000000004</v>
      </c>
      <c r="G46" s="49">
        <f>Bal.sheet!G5</f>
        <v>5214.4799999999996</v>
      </c>
      <c r="H46" s="49">
        <f>Bal.sheet!H5</f>
        <v>5687.08</v>
      </c>
      <c r="I46" s="49">
        <f>Bal.sheet!I5</f>
        <v>6109.7</v>
      </c>
      <c r="J46" s="49">
        <f>Bal.sheet!J5</f>
        <v>6738.17</v>
      </c>
      <c r="K46" s="49">
        <f>Bal.sheet!K5</f>
        <v>7246.06</v>
      </c>
      <c r="L46" s="63">
        <f>(K46)*(1+$P$49)</f>
        <v>17170774.464609075</v>
      </c>
      <c r="M46" s="63">
        <f>(L46)*(1+$P$49)</f>
        <v>40689077335.058098</v>
      </c>
      <c r="N46" s="63">
        <f>(M46)*(1+$P$49)</f>
        <v>96419705342395.656</v>
      </c>
      <c r="O46" s="63">
        <f>(N46)*(1+$P$49)</f>
        <v>2.2848292925787789E+17</v>
      </c>
      <c r="P46" s="64">
        <f>(O46)*(1+$P$49)</f>
        <v>5.414292522143415E+20</v>
      </c>
    </row>
    <row r="47" spans="1:17" ht="14.25" customHeight="1">
      <c r="A47" s="61" t="s">
        <v>59</v>
      </c>
      <c r="B47" s="49">
        <f>Bal.sheet!B8</f>
        <v>3094.29</v>
      </c>
      <c r="C47" s="49">
        <f>Bal.sheet!C8</f>
        <v>3657.88</v>
      </c>
      <c r="D47" s="49">
        <f>Bal.sheet!D8</f>
        <v>4226.8599999999997</v>
      </c>
      <c r="E47" s="49">
        <f>Bal.sheet!E8</f>
        <v>3968.82</v>
      </c>
      <c r="F47" s="49">
        <f>Bal.sheet!F8</f>
        <v>4574.2299999999996</v>
      </c>
      <c r="G47" s="49">
        <f>Bal.sheet!G8</f>
        <v>5391.22</v>
      </c>
      <c r="H47" s="49">
        <f>Bal.sheet!H8</f>
        <v>5863.87</v>
      </c>
      <c r="I47" s="49">
        <f>Bal.sheet!I8</f>
        <v>6286.88</v>
      </c>
      <c r="J47" s="49">
        <f>Bal.sheet!J8</f>
        <v>6915.37</v>
      </c>
      <c r="K47" s="49">
        <f>Bal.sheet!K8</f>
        <v>7423.29</v>
      </c>
      <c r="L47" s="65">
        <f>L46+L45</f>
        <v>17170951.664609075</v>
      </c>
      <c r="M47" s="65">
        <f>M46+M45</f>
        <v>40689077512.258095</v>
      </c>
      <c r="N47" s="65">
        <f>N46+N45</f>
        <v>96419705342572.859</v>
      </c>
      <c r="O47" s="65">
        <f>O46+O45</f>
        <v>2.2848292925787808E+17</v>
      </c>
      <c r="P47" s="66">
        <f>P46+P45</f>
        <v>5.414292522143415E+20</v>
      </c>
    </row>
    <row r="48" spans="1:17" ht="14.25" customHeight="1">
      <c r="A48" s="61" t="s">
        <v>61</v>
      </c>
      <c r="B48" s="45">
        <f>Bal.sheet!B10</f>
        <v>79.55</v>
      </c>
      <c r="C48" s="45">
        <f>Bal.sheet!C10</f>
        <v>74.680000000000007</v>
      </c>
      <c r="D48" s="45">
        <f>Bal.sheet!D10</f>
        <v>78.010000000000005</v>
      </c>
      <c r="E48" s="45">
        <f>Bal.sheet!E10</f>
        <v>82.13</v>
      </c>
      <c r="F48" s="45">
        <f>Bal.sheet!F10</f>
        <v>49.46</v>
      </c>
      <c r="G48" s="45">
        <f>Bal.sheet!G10</f>
        <v>152.93</v>
      </c>
      <c r="H48" s="45">
        <f>Bal.sheet!H10</f>
        <v>560.17999999999995</v>
      </c>
      <c r="I48" s="45">
        <f>Bal.sheet!I10</f>
        <v>437.7</v>
      </c>
      <c r="J48" s="45">
        <f>Bal.sheet!J10</f>
        <v>675.97</v>
      </c>
      <c r="K48" s="45">
        <f>Bal.sheet!K10</f>
        <v>378.62</v>
      </c>
      <c r="L48" s="63">
        <f>K48*(1+$P$50)</f>
        <v>546.31211621124521</v>
      </c>
      <c r="M48" s="63">
        <f>L48*(1+$P$50)</f>
        <v>788.27565453280101</v>
      </c>
      <c r="N48" s="63">
        <f>M48*(1+$P$50)</f>
        <v>1137.4056864022477</v>
      </c>
      <c r="O48" s="63">
        <f>N48*(1+$P$50)</f>
        <v>1641.1666249250329</v>
      </c>
      <c r="P48" s="64">
        <f>O48*(1+$P$50)</f>
        <v>2368.0450370240919</v>
      </c>
    </row>
    <row r="49" spans="1:16" ht="14.25" customHeight="1">
      <c r="A49" s="61" t="s">
        <v>62</v>
      </c>
      <c r="B49" s="45">
        <f>Bal.sheet!B11</f>
        <v>87.23</v>
      </c>
      <c r="C49" s="45">
        <f>Bal.sheet!C11</f>
        <v>283.75</v>
      </c>
      <c r="D49" s="45">
        <f>Bal.sheet!D11</f>
        <v>286.61</v>
      </c>
      <c r="E49" s="45">
        <f>Bal.sheet!E11</f>
        <v>309.86</v>
      </c>
      <c r="F49" s="45">
        <f>Bal.sheet!F11</f>
        <v>150.65</v>
      </c>
      <c r="G49" s="45">
        <f>Bal.sheet!G11</f>
        <v>179.87</v>
      </c>
      <c r="H49" s="45">
        <f>Bal.sheet!H11</f>
        <v>560.17999999999995</v>
      </c>
      <c r="I49" s="45">
        <f>Bal.sheet!I11</f>
        <v>615.46</v>
      </c>
      <c r="J49" s="45">
        <f>Bal.sheet!J11</f>
        <v>775.96</v>
      </c>
      <c r="K49" s="45">
        <f>Bal.sheet!K11</f>
        <v>378.72</v>
      </c>
      <c r="L49" s="63">
        <f>(K49)*(1+$P$50)</f>
        <v>546.45640655940736</v>
      </c>
      <c r="M49" s="63">
        <f>(L49)*(1+$P$50)</f>
        <v>788.4838515785284</v>
      </c>
      <c r="N49" s="63">
        <f>(M49)*(1+$P$50)</f>
        <v>1137.7060946443908</v>
      </c>
      <c r="O49" s="63">
        <f>(N49)*(1+$P$50)</f>
        <v>1641.6000850235287</v>
      </c>
      <c r="P49" s="64">
        <f>(O49)*(1+$P$50)</f>
        <v>2368.6704781093554</v>
      </c>
    </row>
    <row r="50" spans="1:16" ht="14.25" customHeight="1">
      <c r="A50" s="67" t="s">
        <v>142</v>
      </c>
      <c r="B50" s="45"/>
      <c r="C50" s="68">
        <f t="shared" ref="C50:K50" si="17">(C49-B49)/B49</f>
        <v>2.252894646337269</v>
      </c>
      <c r="D50" s="68">
        <f t="shared" si="17"/>
        <v>1.0079295154185069E-2</v>
      </c>
      <c r="E50" s="68">
        <f t="shared" si="17"/>
        <v>8.1120686647360524E-2</v>
      </c>
      <c r="F50" s="68">
        <f t="shared" si="17"/>
        <v>-0.51381268960175563</v>
      </c>
      <c r="G50" s="68">
        <f t="shared" si="17"/>
        <v>0.1939595087952207</v>
      </c>
      <c r="H50" s="68">
        <f t="shared" si="17"/>
        <v>2.1143603713793291</v>
      </c>
      <c r="I50" s="68">
        <f t="shared" si="17"/>
        <v>9.8682566317969386E-2</v>
      </c>
      <c r="J50" s="68">
        <f t="shared" si="17"/>
        <v>0.26078055438208819</v>
      </c>
      <c r="K50" s="68">
        <f t="shared" si="17"/>
        <v>-0.51193360482499095</v>
      </c>
      <c r="L50" s="46"/>
      <c r="M50" s="46"/>
      <c r="N50" s="46"/>
      <c r="O50" s="46"/>
      <c r="P50" s="69">
        <f>AVERAGE(B50:K50)</f>
        <v>0.44290348162074178</v>
      </c>
    </row>
    <row r="51" spans="1:16" ht="14.25" customHeight="1">
      <c r="A51" s="61" t="s">
        <v>63</v>
      </c>
      <c r="B51" s="45">
        <f>Bal.sheet!B12</f>
        <v>49.99</v>
      </c>
      <c r="C51" s="45">
        <f>Bal.sheet!C12</f>
        <v>51.23</v>
      </c>
      <c r="D51" s="45">
        <f>Bal.sheet!D12</f>
        <v>54.29</v>
      </c>
      <c r="E51" s="45">
        <f>Bal.sheet!E12</f>
        <v>57.32</v>
      </c>
      <c r="F51" s="45">
        <f>Bal.sheet!F12</f>
        <v>59.35</v>
      </c>
      <c r="G51" s="45">
        <f>Bal.sheet!G12</f>
        <v>56.92</v>
      </c>
      <c r="H51" s="45">
        <f>Bal.sheet!H12</f>
        <v>60.82</v>
      </c>
      <c r="I51" s="45">
        <f>Bal.sheet!I12</f>
        <v>62.62</v>
      </c>
      <c r="J51" s="45">
        <f>Bal.sheet!J12</f>
        <v>65.63</v>
      </c>
      <c r="K51" s="45">
        <f>Bal.sheet!K12</f>
        <v>64.489999999999995</v>
      </c>
      <c r="L51" s="46"/>
      <c r="M51" s="46"/>
      <c r="N51" s="46"/>
      <c r="O51" s="46"/>
      <c r="P51" s="62"/>
    </row>
    <row r="52" spans="1:16" ht="14.25" customHeight="1">
      <c r="A52" s="70" t="s">
        <v>64</v>
      </c>
      <c r="B52" s="71">
        <f>Bal.sheet!B13</f>
        <v>3231.51</v>
      </c>
      <c r="C52" s="71">
        <f>Bal.sheet!C13</f>
        <v>3992.86</v>
      </c>
      <c r="D52" s="71">
        <f>Bal.sheet!D13</f>
        <v>4567.76</v>
      </c>
      <c r="E52" s="71">
        <f>Bal.sheet!E13</f>
        <v>4336</v>
      </c>
      <c r="F52" s="71">
        <f>Bal.sheet!F13</f>
        <v>4784.2299999999996</v>
      </c>
      <c r="G52" s="71">
        <f>Bal.sheet!G13</f>
        <v>5628.01</v>
      </c>
      <c r="H52" s="71">
        <f>Bal.sheet!H13</f>
        <v>6484.87</v>
      </c>
      <c r="I52" s="71">
        <f>Bal.sheet!I13</f>
        <v>6964.96</v>
      </c>
      <c r="J52" s="71">
        <f>Bal.sheet!J13</f>
        <v>7756.96</v>
      </c>
      <c r="K52" s="71">
        <f>Bal.sheet!K13</f>
        <v>7866.5</v>
      </c>
      <c r="L52" s="72">
        <f>(K52)*(1+(K52-J52)/K52)</f>
        <v>7976.0400000000009</v>
      </c>
      <c r="M52" s="72">
        <f>(L52)*(1+(L52-K52)/L52)</f>
        <v>8085.5800000000027</v>
      </c>
      <c r="N52" s="72">
        <f>(M52)*(1+(M52-L52)/M52)</f>
        <v>8195.1200000000044</v>
      </c>
      <c r="O52" s="72">
        <f>(N52)*(1+(N52-M52)/N52)</f>
        <v>8304.6600000000071</v>
      </c>
      <c r="P52" s="69">
        <f>(O52)*(1+(O52-N52)/O52)</f>
        <v>8414.2000000000098</v>
      </c>
    </row>
    <row r="53" spans="1:16" ht="14.25" customHeight="1">
      <c r="A53" s="59" t="s">
        <v>65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6"/>
      <c r="M53" s="46"/>
      <c r="N53" s="46"/>
      <c r="O53" s="46"/>
      <c r="P53" s="62"/>
    </row>
    <row r="54" spans="1:16" ht="14.25" customHeight="1">
      <c r="A54" s="61" t="s">
        <v>66</v>
      </c>
      <c r="B54" s="49">
        <f>Bal.sheet!B15</f>
        <v>1131.3399999999999</v>
      </c>
      <c r="C54" s="49">
        <f>Bal.sheet!C15</f>
        <v>1549.58</v>
      </c>
      <c r="D54" s="49">
        <f>Bal.sheet!D15</f>
        <v>1671.38</v>
      </c>
      <c r="E54" s="49">
        <f>Bal.sheet!E15</f>
        <v>1774.43</v>
      </c>
      <c r="F54" s="49">
        <f>Bal.sheet!F15</f>
        <v>1982.29</v>
      </c>
      <c r="G54" s="49">
        <f>Bal.sheet!G15</f>
        <v>2168.0300000000002</v>
      </c>
      <c r="H54" s="49">
        <f>Bal.sheet!H15</f>
        <v>2501.1</v>
      </c>
      <c r="I54" s="49">
        <f>Bal.sheet!I15</f>
        <v>2937.65</v>
      </c>
      <c r="J54" s="49">
        <f>Bal.sheet!J15</f>
        <v>3345.31</v>
      </c>
      <c r="K54" s="49">
        <f>Bal.sheet!K15</f>
        <v>3722.26</v>
      </c>
      <c r="L54" s="46"/>
      <c r="M54" s="46"/>
      <c r="N54" s="46"/>
      <c r="O54" s="46"/>
      <c r="P54" s="62"/>
    </row>
    <row r="55" spans="1:16" ht="14.25" customHeight="1">
      <c r="A55" s="61" t="s">
        <v>67</v>
      </c>
      <c r="B55" s="45">
        <f>Bal.sheet!B16</f>
        <v>492.53</v>
      </c>
      <c r="C55" s="45">
        <f>Bal.sheet!C16</f>
        <v>556.25</v>
      </c>
      <c r="D55" s="45">
        <f>Bal.sheet!D16</f>
        <v>640.9</v>
      </c>
      <c r="E55" s="45">
        <f>Bal.sheet!E16</f>
        <v>737.81</v>
      </c>
      <c r="F55" s="45">
        <f>Bal.sheet!F16</f>
        <v>848.01</v>
      </c>
      <c r="G55" s="45">
        <f>Bal.sheet!G16</f>
        <v>963.22</v>
      </c>
      <c r="H55" s="49">
        <f>Bal.sheet!H16</f>
        <v>1102.0999999999999</v>
      </c>
      <c r="I55" s="49">
        <f>Bal.sheet!I16</f>
        <v>1275.68</v>
      </c>
      <c r="J55" s="49">
        <f>Bal.sheet!J16</f>
        <v>1467.11</v>
      </c>
      <c r="K55" s="49">
        <f>Bal.sheet!K16</f>
        <v>1686.64</v>
      </c>
      <c r="L55" s="46"/>
      <c r="M55" s="46"/>
      <c r="N55" s="46"/>
      <c r="O55" s="46"/>
      <c r="P55" s="62"/>
    </row>
    <row r="56" spans="1:16" ht="14.25" customHeight="1">
      <c r="A56" s="59" t="s">
        <v>69</v>
      </c>
      <c r="B56" s="73">
        <f>Bal.sheet!B18</f>
        <v>638.80999999999995</v>
      </c>
      <c r="C56" s="73">
        <f>Bal.sheet!C18</f>
        <v>993.33</v>
      </c>
      <c r="D56" s="71">
        <f>Bal.sheet!D18</f>
        <v>1030.48</v>
      </c>
      <c r="E56" s="71">
        <f>Bal.sheet!E18</f>
        <v>1036.6199999999999</v>
      </c>
      <c r="F56" s="71">
        <f>Bal.sheet!F18</f>
        <v>1134.28</v>
      </c>
      <c r="G56" s="71">
        <f>Bal.sheet!G18</f>
        <v>1204.81</v>
      </c>
      <c r="H56" s="71">
        <f>Bal.sheet!H18</f>
        <v>1399</v>
      </c>
      <c r="I56" s="71">
        <f>Bal.sheet!I18</f>
        <v>1661.97</v>
      </c>
      <c r="J56" s="71">
        <f>Bal.sheet!J18</f>
        <v>1878.2</v>
      </c>
      <c r="K56" s="71">
        <f>Bal.sheet!K18</f>
        <v>2035.62</v>
      </c>
      <c r="L56" s="46"/>
      <c r="M56" s="46"/>
      <c r="N56" s="46"/>
      <c r="O56" s="46"/>
      <c r="P56" s="62"/>
    </row>
    <row r="57" spans="1:16" ht="14.25" customHeight="1">
      <c r="A57" s="67" t="s">
        <v>142</v>
      </c>
      <c r="B57" s="45"/>
      <c r="C57" s="45">
        <f t="shared" ref="C57:K57" si="18">(C56-B56)/B56</f>
        <v>0.55496939622109875</v>
      </c>
      <c r="D57" s="45">
        <f t="shared" si="18"/>
        <v>3.7399454360585081E-2</v>
      </c>
      <c r="E57" s="45">
        <f t="shared" si="18"/>
        <v>5.9583883238877736E-3</v>
      </c>
      <c r="F57" s="45">
        <f t="shared" si="18"/>
        <v>9.4210028747274882E-2</v>
      </c>
      <c r="G57" s="45">
        <f t="shared" si="18"/>
        <v>6.2180414007123437E-2</v>
      </c>
      <c r="H57" s="45">
        <f t="shared" si="18"/>
        <v>0.16117894107784636</v>
      </c>
      <c r="I57" s="45">
        <f t="shared" si="18"/>
        <v>0.18796997855611153</v>
      </c>
      <c r="J57" s="45">
        <f t="shared" si="18"/>
        <v>0.1301046348610384</v>
      </c>
      <c r="K57" s="45">
        <f t="shared" si="18"/>
        <v>8.3814290277925585E-2</v>
      </c>
      <c r="L57" s="46"/>
      <c r="M57" s="46"/>
      <c r="N57" s="46"/>
      <c r="O57" s="46"/>
      <c r="P57" s="69">
        <f>AVERAGE(C57:K57)</f>
        <v>0.14642061404809911</v>
      </c>
    </row>
    <row r="58" spans="1:16" ht="14.25" customHeight="1">
      <c r="A58" s="61" t="s">
        <v>70</v>
      </c>
      <c r="B58" s="45">
        <f>Bal.sheet!B21</f>
        <v>24.96</v>
      </c>
      <c r="C58" s="45">
        <f>Bal.sheet!C21</f>
        <v>28.25</v>
      </c>
      <c r="D58" s="45">
        <f>Bal.sheet!D21</f>
        <v>26.82</v>
      </c>
      <c r="E58" s="45">
        <f>Bal.sheet!E21</f>
        <v>21.69</v>
      </c>
      <c r="F58" s="45">
        <f>Bal.sheet!F21</f>
        <v>105.83</v>
      </c>
      <c r="G58" s="45">
        <f>Bal.sheet!G21</f>
        <v>107.26</v>
      </c>
      <c r="H58" s="45">
        <f>Bal.sheet!H21</f>
        <v>128.47999999999999</v>
      </c>
      <c r="I58" s="45">
        <f>Bal.sheet!I21</f>
        <v>109.43</v>
      </c>
      <c r="J58" s="45">
        <f>Bal.sheet!J21</f>
        <v>184.23</v>
      </c>
      <c r="K58" s="45">
        <f>Bal.sheet!K21</f>
        <v>136.88</v>
      </c>
      <c r="L58" s="46">
        <f t="shared" ref="L58:P59" si="19">(K58)*(1+$P$62)</f>
        <v>149.50255825192593</v>
      </c>
      <c r="M58" s="46">
        <f t="shared" si="19"/>
        <v>163.28912130238535</v>
      </c>
      <c r="N58" s="46">
        <f t="shared" si="19"/>
        <v>178.34702929146457</v>
      </c>
      <c r="O58" s="46">
        <f t="shared" si="19"/>
        <v>194.79352086283697</v>
      </c>
      <c r="P58" s="62">
        <f t="shared" si="19"/>
        <v>212.75664596649648</v>
      </c>
    </row>
    <row r="59" spans="1:16" ht="14.25" customHeight="1">
      <c r="A59" s="61" t="s">
        <v>72</v>
      </c>
      <c r="B59" s="49">
        <f>Bal.sheet!B23</f>
        <v>2570.31</v>
      </c>
      <c r="C59" s="49">
        <f>Bal.sheet!C23</f>
        <v>3054.15</v>
      </c>
      <c r="D59" s="49">
        <f>Bal.sheet!D23</f>
        <v>3433.06</v>
      </c>
      <c r="E59" s="49">
        <f>Bal.sheet!E23</f>
        <v>2962.14</v>
      </c>
      <c r="F59" s="49">
        <f>Bal.sheet!F23</f>
        <v>2466.83</v>
      </c>
      <c r="G59" s="49">
        <f>Bal.sheet!G23</f>
        <v>3573.9</v>
      </c>
      <c r="H59" s="49">
        <f>Bal.sheet!H23</f>
        <v>5007.08</v>
      </c>
      <c r="I59" s="49">
        <f>Bal.sheet!I23</f>
        <v>5475.05</v>
      </c>
      <c r="J59" s="49">
        <f>Bal.sheet!J23</f>
        <v>6148.47</v>
      </c>
      <c r="K59" s="49">
        <f>Bal.sheet!K23</f>
        <v>6358.82</v>
      </c>
      <c r="L59" s="46">
        <f t="shared" si="19"/>
        <v>6945.2064396808273</v>
      </c>
      <c r="M59" s="46">
        <f t="shared" si="19"/>
        <v>7585.6672291060349</v>
      </c>
      <c r="N59" s="46">
        <f t="shared" si="19"/>
        <v>8285.1889012211468</v>
      </c>
      <c r="O59" s="46">
        <f t="shared" si="19"/>
        <v>9049.2178282658151</v>
      </c>
      <c r="P59" s="62">
        <f t="shared" si="19"/>
        <v>9883.7026264222441</v>
      </c>
    </row>
    <row r="60" spans="1:16" ht="14.25" customHeight="1">
      <c r="A60" s="59" t="s">
        <v>73</v>
      </c>
      <c r="B60" s="45">
        <f>Bal.sheet!B24</f>
        <v>0</v>
      </c>
      <c r="C60" s="45">
        <f>Bal.sheet!C24</f>
        <v>0</v>
      </c>
      <c r="D60" s="45">
        <f>Bal.sheet!D24</f>
        <v>0</v>
      </c>
      <c r="E60" s="45">
        <f>Bal.sheet!E24</f>
        <v>0</v>
      </c>
      <c r="F60" s="45">
        <f>Bal.sheet!F24</f>
        <v>0</v>
      </c>
      <c r="G60" s="45">
        <f>Bal.sheet!G24</f>
        <v>0</v>
      </c>
      <c r="H60" s="45">
        <f>Bal.sheet!H24</f>
        <v>0</v>
      </c>
      <c r="I60" s="45">
        <f>Bal.sheet!I24</f>
        <v>0</v>
      </c>
      <c r="J60" s="45">
        <f>Bal.sheet!J24</f>
        <v>0</v>
      </c>
      <c r="K60" s="45">
        <f>Bal.sheet!K24</f>
        <v>0</v>
      </c>
      <c r="L60" s="46"/>
      <c r="M60" s="46"/>
      <c r="N60" s="46"/>
      <c r="O60" s="46"/>
      <c r="P60" s="62"/>
    </row>
    <row r="61" spans="1:16" ht="14.25" customHeight="1">
      <c r="A61" s="59" t="s">
        <v>74</v>
      </c>
      <c r="B61" s="45">
        <f>Bal.sheet!B25</f>
        <v>615.55999999999995</v>
      </c>
      <c r="C61" s="45">
        <f>Bal.sheet!C25</f>
        <v>599.27</v>
      </c>
      <c r="D61" s="45">
        <f>Bal.sheet!D25</f>
        <v>704.79</v>
      </c>
      <c r="E61" s="45">
        <f>Bal.sheet!E25</f>
        <v>732.9</v>
      </c>
      <c r="F61" s="45">
        <f>Bal.sheet!F25</f>
        <v>809.14</v>
      </c>
      <c r="G61" s="49">
        <f>Bal.sheet!G25</f>
        <v>1114.1600000000001</v>
      </c>
      <c r="H61" s="49">
        <f>Bal.sheet!H25</f>
        <v>1237.96</v>
      </c>
      <c r="I61" s="49">
        <f>Bal.sheet!I25</f>
        <v>1223.77</v>
      </c>
      <c r="J61" s="49">
        <f>Bal.sheet!J25</f>
        <v>1149.8800000000001</v>
      </c>
      <c r="K61" s="49">
        <f>Bal.sheet!K25</f>
        <v>1288.07</v>
      </c>
      <c r="L61" s="46">
        <f>(K61)*(1+$P$62)</f>
        <v>1406.8509658646863</v>
      </c>
      <c r="M61" s="46">
        <f>(L61)*(1+$P$62)</f>
        <v>1536.5854651955256</v>
      </c>
      <c r="N61" s="46">
        <f>(M61)*(1+$P$62)</f>
        <v>1678.2835916091233</v>
      </c>
      <c r="O61" s="46">
        <f>(N61)*(1+$P$62)</f>
        <v>1833.0485857524434</v>
      </c>
      <c r="P61" s="62">
        <f>(O61)*(1+$P$62)</f>
        <v>2002.0854249712531</v>
      </c>
    </row>
    <row r="62" spans="1:16" ht="14.25" customHeight="1">
      <c r="A62" s="67" t="s">
        <v>142</v>
      </c>
      <c r="B62" s="45"/>
      <c r="C62" s="45">
        <f t="shared" ref="C62:K62" si="20">(C61-B61)/B61</f>
        <v>-2.6463707843264614E-2</v>
      </c>
      <c r="D62" s="45">
        <f t="shared" si="20"/>
        <v>0.17608089842641877</v>
      </c>
      <c r="E62" s="45">
        <f t="shared" si="20"/>
        <v>3.9884220831737136E-2</v>
      </c>
      <c r="F62" s="45">
        <f t="shared" si="20"/>
        <v>0.10402510574430347</v>
      </c>
      <c r="G62" s="45">
        <f t="shared" si="20"/>
        <v>0.37696813901179044</v>
      </c>
      <c r="H62" s="45">
        <f t="shared" si="20"/>
        <v>0.11111510016514679</v>
      </c>
      <c r="I62" s="45">
        <f t="shared" si="20"/>
        <v>-1.1462405893566879E-2</v>
      </c>
      <c r="J62" s="45">
        <f t="shared" si="20"/>
        <v>-6.0378992784591773E-2</v>
      </c>
      <c r="K62" s="45">
        <f t="shared" si="20"/>
        <v>0.120177757679062</v>
      </c>
      <c r="L62" s="46"/>
      <c r="M62" s="46"/>
      <c r="N62" s="46"/>
      <c r="O62" s="46"/>
      <c r="P62" s="69">
        <f>AVERAGE(C62:K62)</f>
        <v>9.2216235037448385E-2</v>
      </c>
    </row>
    <row r="63" spans="1:16" ht="14.25" customHeight="1">
      <c r="A63" s="61" t="s">
        <v>75</v>
      </c>
      <c r="B63" s="45">
        <f>Bal.sheet!B26</f>
        <v>420.69</v>
      </c>
      <c r="C63" s="45">
        <f>Bal.sheet!C26</f>
        <v>333.25</v>
      </c>
      <c r="D63" s="45">
        <f>Bal.sheet!D26</f>
        <v>321.33999999999997</v>
      </c>
      <c r="E63" s="45">
        <f>Bal.sheet!E26</f>
        <v>431.46</v>
      </c>
      <c r="F63" s="45">
        <f>Bal.sheet!F26</f>
        <v>379.63</v>
      </c>
      <c r="G63" s="45">
        <f>Bal.sheet!G26</f>
        <v>281.24</v>
      </c>
      <c r="H63" s="45">
        <f>Bal.sheet!H26</f>
        <v>454.55</v>
      </c>
      <c r="I63" s="45">
        <f>Bal.sheet!I26</f>
        <v>561.17999999999995</v>
      </c>
      <c r="J63" s="45">
        <f>Bal.sheet!J26</f>
        <v>719.21</v>
      </c>
      <c r="K63" s="45">
        <f>Bal.sheet!K26</f>
        <v>600.58000000000004</v>
      </c>
      <c r="L63" s="46">
        <f t="shared" ref="L63:P66" si="21">(K63)*(1+$P$67)</f>
        <v>655.03371351245562</v>
      </c>
      <c r="M63" s="46">
        <f t="shared" si="21"/>
        <v>714.42466588617299</v>
      </c>
      <c r="N63" s="46">
        <f t="shared" si="21"/>
        <v>779.20050937479641</v>
      </c>
      <c r="O63" s="46">
        <f t="shared" si="21"/>
        <v>849.8494842095472</v>
      </c>
      <c r="P63" s="62">
        <f t="shared" si="21"/>
        <v>926.90409865201093</v>
      </c>
    </row>
    <row r="64" spans="1:16" ht="14.25" customHeight="1">
      <c r="A64" s="61" t="s">
        <v>76</v>
      </c>
      <c r="B64" s="45">
        <f>Bal.sheet!B27</f>
        <v>55.63</v>
      </c>
      <c r="C64" s="45">
        <f>Bal.sheet!C27</f>
        <v>26.16</v>
      </c>
      <c r="D64" s="45">
        <f>Bal.sheet!D27</f>
        <v>87.02</v>
      </c>
      <c r="E64" s="45">
        <f>Bal.sheet!E27</f>
        <v>124.71</v>
      </c>
      <c r="F64" s="45">
        <f>Bal.sheet!F27</f>
        <v>525.6</v>
      </c>
      <c r="G64" s="45">
        <f>Bal.sheet!G27</f>
        <v>834.74</v>
      </c>
      <c r="H64" s="45">
        <f>Bal.sheet!H27</f>
        <v>136.18</v>
      </c>
      <c r="I64" s="45">
        <f>Bal.sheet!I27</f>
        <v>33.4</v>
      </c>
      <c r="J64" s="45">
        <f>Bal.sheet!J27</f>
        <v>71.11</v>
      </c>
      <c r="K64" s="45">
        <f>Bal.sheet!K27</f>
        <v>133.02000000000001</v>
      </c>
      <c r="L64" s="46">
        <f t="shared" si="21"/>
        <v>145.08072958045031</v>
      </c>
      <c r="M64" s="46">
        <f t="shared" si="21"/>
        <v>158.23498793862387</v>
      </c>
      <c r="N64" s="46">
        <f t="shared" si="21"/>
        <v>172.5819237354481</v>
      </c>
      <c r="O64" s="46">
        <f t="shared" si="21"/>
        <v>188.22967529647005</v>
      </c>
      <c r="P64" s="62">
        <f t="shared" si="21"/>
        <v>205.29618569164893</v>
      </c>
    </row>
    <row r="65" spans="1:16" ht="14.25" customHeight="1">
      <c r="A65" s="61" t="s">
        <v>77</v>
      </c>
      <c r="B65" s="45">
        <f>Bal.sheet!B28</f>
        <v>68.260000000000005</v>
      </c>
      <c r="C65" s="45">
        <f>Bal.sheet!C28</f>
        <v>91.81</v>
      </c>
      <c r="D65" s="45">
        <f>Bal.sheet!D28</f>
        <v>132.30000000000001</v>
      </c>
      <c r="E65" s="45">
        <f>Bal.sheet!E28</f>
        <v>109.88</v>
      </c>
      <c r="F65" s="45">
        <f>Bal.sheet!F28</f>
        <v>168.15</v>
      </c>
      <c r="G65" s="45">
        <f>Bal.sheet!G28</f>
        <v>148.71</v>
      </c>
      <c r="H65" s="45">
        <f>Bal.sheet!H28</f>
        <v>126.06</v>
      </c>
      <c r="I65" s="45">
        <f>Bal.sheet!I28</f>
        <v>140.4</v>
      </c>
      <c r="J65" s="45">
        <f>Bal.sheet!J28</f>
        <v>232</v>
      </c>
      <c r="K65" s="45">
        <f>Bal.sheet!K28</f>
        <v>280.07</v>
      </c>
      <c r="L65" s="46">
        <f t="shared" si="21"/>
        <v>305.46353881819812</v>
      </c>
      <c r="M65" s="46">
        <f t="shared" si="21"/>
        <v>333.15947280085993</v>
      </c>
      <c r="N65" s="46">
        <f t="shared" si="21"/>
        <v>363.36655676279469</v>
      </c>
      <c r="O65" s="46">
        <f t="shared" si="21"/>
        <v>396.3124730136999</v>
      </c>
      <c r="P65" s="62">
        <f t="shared" si="21"/>
        <v>432.24554748654418</v>
      </c>
    </row>
    <row r="66" spans="1:16" ht="14.25" customHeight="1">
      <c r="A66" s="59" t="s">
        <v>78</v>
      </c>
      <c r="B66" s="49">
        <f>Bal.sheet!B29</f>
        <v>1160.1400000000001</v>
      </c>
      <c r="C66" s="49">
        <f>Bal.sheet!C29</f>
        <v>1050.49</v>
      </c>
      <c r="D66" s="49">
        <f>Bal.sheet!D29</f>
        <v>1245.45</v>
      </c>
      <c r="E66" s="49">
        <f>Bal.sheet!E29</f>
        <v>1398.95</v>
      </c>
      <c r="F66" s="49">
        <f>Bal.sheet!F29</f>
        <v>1882.52</v>
      </c>
      <c r="G66" s="49">
        <f>Bal.sheet!G29</f>
        <v>2378.85</v>
      </c>
      <c r="H66" s="49">
        <f>Bal.sheet!H29</f>
        <v>1954.75</v>
      </c>
      <c r="I66" s="49">
        <f>Bal.sheet!I29</f>
        <v>1958.75</v>
      </c>
      <c r="J66" s="49">
        <f>Bal.sheet!J29</f>
        <v>2172.1999999999998</v>
      </c>
      <c r="K66" s="49">
        <f>Bal.sheet!K29</f>
        <v>2301.7399999999998</v>
      </c>
      <c r="L66" s="46">
        <f t="shared" si="21"/>
        <v>2510.4354120019971</v>
      </c>
      <c r="M66" s="46">
        <f t="shared" si="21"/>
        <v>2738.0529329262372</v>
      </c>
      <c r="N66" s="46">
        <f t="shared" si="21"/>
        <v>2986.3082028178487</v>
      </c>
      <c r="O66" s="46">
        <f t="shared" si="21"/>
        <v>3257.0724163050431</v>
      </c>
      <c r="P66" s="62">
        <f t="shared" si="21"/>
        <v>3552.386426506509</v>
      </c>
    </row>
    <row r="67" spans="1:16" ht="14.25" customHeight="1">
      <c r="A67" s="67" t="s">
        <v>142</v>
      </c>
      <c r="B67" s="45"/>
      <c r="C67" s="45">
        <f t="shared" ref="C67:K67" si="22">(C66-B66)/B66</f>
        <v>-9.4514455151964494E-2</v>
      </c>
      <c r="D67" s="45">
        <f t="shared" si="22"/>
        <v>0.18558958200458836</v>
      </c>
      <c r="E67" s="45">
        <f t="shared" si="22"/>
        <v>0.12324862499498172</v>
      </c>
      <c r="F67" s="45">
        <f t="shared" si="22"/>
        <v>0.34566639265163152</v>
      </c>
      <c r="G67" s="45">
        <f t="shared" si="22"/>
        <v>0.26365191339268634</v>
      </c>
      <c r="H67" s="45">
        <f t="shared" si="22"/>
        <v>-0.17827942072850322</v>
      </c>
      <c r="I67" s="45">
        <f t="shared" si="22"/>
        <v>2.0462974804962273E-3</v>
      </c>
      <c r="J67" s="45">
        <f t="shared" si="22"/>
        <v>0.10897255902999353</v>
      </c>
      <c r="K67" s="45">
        <f t="shared" si="22"/>
        <v>5.9635392689439265E-2</v>
      </c>
      <c r="L67" s="46"/>
      <c r="M67" s="46"/>
      <c r="N67" s="46"/>
      <c r="O67" s="46"/>
      <c r="P67" s="69">
        <f>AVERAGE(B67:K67)</f>
        <v>9.066854292926102E-2</v>
      </c>
    </row>
    <row r="68" spans="1:16" ht="14.25" customHeight="1">
      <c r="A68" s="59" t="s">
        <v>79</v>
      </c>
      <c r="B68" s="45">
        <f>Bal.sheet!B30</f>
        <v>0</v>
      </c>
      <c r="C68" s="45">
        <f>Bal.sheet!C30</f>
        <v>0</v>
      </c>
      <c r="D68" s="45">
        <f>Bal.sheet!D30</f>
        <v>0</v>
      </c>
      <c r="E68" s="45">
        <f>Bal.sheet!E30</f>
        <v>0</v>
      </c>
      <c r="F68" s="45">
        <f>Bal.sheet!F30</f>
        <v>0</v>
      </c>
      <c r="G68" s="45">
        <f>Bal.sheet!G30</f>
        <v>0</v>
      </c>
      <c r="H68" s="45">
        <f>Bal.sheet!H30</f>
        <v>0</v>
      </c>
      <c r="I68" s="45">
        <f>Bal.sheet!I30</f>
        <v>0</v>
      </c>
      <c r="J68" s="45">
        <f>Bal.sheet!J30</f>
        <v>0</v>
      </c>
      <c r="K68" s="45">
        <f>Bal.sheet!K30</f>
        <v>0</v>
      </c>
      <c r="L68" s="46"/>
      <c r="M68" s="46"/>
      <c r="N68" s="46"/>
      <c r="O68" s="46"/>
      <c r="P68" s="62"/>
    </row>
    <row r="69" spans="1:16" ht="14.25" customHeight="1">
      <c r="A69" s="61" t="s">
        <v>80</v>
      </c>
      <c r="B69" s="49">
        <f>Bal.sheet!B31</f>
        <v>1070.8499999999999</v>
      </c>
      <c r="C69" s="49">
        <f>Bal.sheet!C31</f>
        <v>1061.3699999999999</v>
      </c>
      <c r="D69" s="49">
        <f>Bal.sheet!D31</f>
        <v>1080.6199999999999</v>
      </c>
      <c r="E69" s="49">
        <f>Bal.sheet!E31</f>
        <v>1145.54</v>
      </c>
      <c r="F69" s="49">
        <f>Bal.sheet!F31</f>
        <v>1188.3800000000001</v>
      </c>
      <c r="G69" s="49">
        <f>Bal.sheet!G31</f>
        <v>1715.09</v>
      </c>
      <c r="H69" s="49">
        <f>Bal.sheet!H31</f>
        <v>1844.16</v>
      </c>
      <c r="I69" s="49">
        <f>Bal.sheet!I31</f>
        <v>2108.21</v>
      </c>
      <c r="J69" s="49">
        <f>Bal.sheet!J31</f>
        <v>2396.79</v>
      </c>
      <c r="K69" s="49">
        <f>Bal.sheet!K31</f>
        <v>2663.03</v>
      </c>
      <c r="L69" s="46">
        <f t="shared" ref="L69:P71" si="23">(K69)*(1+$P$72)</f>
        <v>2986.0754563150986</v>
      </c>
      <c r="M69" s="46">
        <f t="shared" si="23"/>
        <v>3348.308742600505</v>
      </c>
      <c r="N69" s="46">
        <f t="shared" si="23"/>
        <v>3754.4836357249583</v>
      </c>
      <c r="O69" s="46">
        <f t="shared" si="23"/>
        <v>4209.9305812457887</v>
      </c>
      <c r="P69" s="62">
        <f t="shared" si="23"/>
        <v>4720.6266476338624</v>
      </c>
    </row>
    <row r="70" spans="1:16" ht="14.25" customHeight="1">
      <c r="A70" s="61" t="s">
        <v>81</v>
      </c>
      <c r="B70" s="45">
        <f>Bal.sheet!B32</f>
        <v>50.85</v>
      </c>
      <c r="C70" s="45">
        <f>Bal.sheet!C32</f>
        <v>64.510000000000005</v>
      </c>
      <c r="D70" s="45">
        <f>Bal.sheet!D32</f>
        <v>68.290000000000006</v>
      </c>
      <c r="E70" s="45">
        <f>Bal.sheet!E32</f>
        <v>88.92</v>
      </c>
      <c r="F70" s="45">
        <f>Bal.sheet!F32</f>
        <v>127.5</v>
      </c>
      <c r="G70" s="45">
        <f>Bal.sheet!G32</f>
        <v>161.06</v>
      </c>
      <c r="H70" s="45">
        <f>Bal.sheet!H32</f>
        <v>192.93</v>
      </c>
      <c r="I70" s="45">
        <f>Bal.sheet!I32</f>
        <v>202.51</v>
      </c>
      <c r="J70" s="45">
        <f>Bal.sheet!J32</f>
        <v>278.56</v>
      </c>
      <c r="K70" s="45">
        <f>Bal.sheet!K32</f>
        <v>342.69</v>
      </c>
      <c r="L70" s="46">
        <f t="shared" si="23"/>
        <v>384.26086004461871</v>
      </c>
      <c r="M70" s="46">
        <f t="shared" si="23"/>
        <v>430.87457632913146</v>
      </c>
      <c r="N70" s="46">
        <f t="shared" si="23"/>
        <v>483.142885031932</v>
      </c>
      <c r="O70" s="46">
        <f t="shared" si="23"/>
        <v>541.75173050514616</v>
      </c>
      <c r="P70" s="62">
        <f t="shared" si="23"/>
        <v>607.4702672811228</v>
      </c>
    </row>
    <row r="71" spans="1:16" ht="14.25" customHeight="1">
      <c r="A71" s="59" t="s">
        <v>82</v>
      </c>
      <c r="B71" s="49">
        <f>Bal.sheet!B33</f>
        <v>1121.7</v>
      </c>
      <c r="C71" s="49">
        <f>Bal.sheet!C33</f>
        <v>1125.8800000000001</v>
      </c>
      <c r="D71" s="49">
        <f>Bal.sheet!D33</f>
        <v>1148.9100000000001</v>
      </c>
      <c r="E71" s="49">
        <f>Bal.sheet!E33</f>
        <v>1234.46</v>
      </c>
      <c r="F71" s="49">
        <f>Bal.sheet!F33</f>
        <v>1315.88</v>
      </c>
      <c r="G71" s="49">
        <f>Bal.sheet!G33</f>
        <v>1876.15</v>
      </c>
      <c r="H71" s="49">
        <f>Bal.sheet!H33</f>
        <v>2037.09</v>
      </c>
      <c r="I71" s="49">
        <f>Bal.sheet!I33</f>
        <v>2310.7199999999998</v>
      </c>
      <c r="J71" s="49">
        <f>Bal.sheet!J33</f>
        <v>2675.35</v>
      </c>
      <c r="K71" s="49">
        <f>Bal.sheet!K33</f>
        <v>3005.72</v>
      </c>
      <c r="L71" s="46">
        <f t="shared" si="23"/>
        <v>3370.3363163597169</v>
      </c>
      <c r="M71" s="46">
        <f t="shared" si="23"/>
        <v>3779.1833189296362</v>
      </c>
      <c r="N71" s="46">
        <f t="shared" si="23"/>
        <v>4237.6265207568904</v>
      </c>
      <c r="O71" s="46">
        <f t="shared" si="23"/>
        <v>4751.6823117509357</v>
      </c>
      <c r="P71" s="62">
        <f t="shared" si="23"/>
        <v>5328.0969149149869</v>
      </c>
    </row>
    <row r="72" spans="1:16" ht="14.25" customHeight="1">
      <c r="A72" s="67" t="s">
        <v>142</v>
      </c>
      <c r="B72" s="45"/>
      <c r="C72" s="45">
        <f t="shared" ref="C72:K72" si="24">(C71-B71)/B71</f>
        <v>3.7264865828653504E-3</v>
      </c>
      <c r="D72" s="45">
        <f t="shared" si="24"/>
        <v>2.0455110668987787E-2</v>
      </c>
      <c r="E72" s="45">
        <f t="shared" si="24"/>
        <v>7.4461881261369434E-2</v>
      </c>
      <c r="F72" s="45">
        <f t="shared" si="24"/>
        <v>6.5955964551301843E-2</v>
      </c>
      <c r="G72" s="45">
        <f t="shared" si="24"/>
        <v>0.42577590661762466</v>
      </c>
      <c r="H72" s="45">
        <f t="shared" si="24"/>
        <v>8.5782053673746667E-2</v>
      </c>
      <c r="I72" s="45">
        <f t="shared" si="24"/>
        <v>0.1343239621224393</v>
      </c>
      <c r="J72" s="45">
        <f t="shared" si="24"/>
        <v>0.15779930065087944</v>
      </c>
      <c r="K72" s="45">
        <f t="shared" si="24"/>
        <v>0.12348664660698597</v>
      </c>
      <c r="L72" s="46"/>
      <c r="M72" s="46"/>
      <c r="N72" s="46"/>
      <c r="O72" s="46"/>
      <c r="P72" s="69">
        <f>AVERAGE(B72:K72)</f>
        <v>0.12130747919291118</v>
      </c>
    </row>
    <row r="73" spans="1:16" ht="14.25" customHeight="1">
      <c r="A73" s="61" t="s">
        <v>83</v>
      </c>
      <c r="B73" s="45">
        <f>Bal.sheet!B34</f>
        <v>38.44</v>
      </c>
      <c r="C73" s="45">
        <f>Bal.sheet!C34</f>
        <v>-75.39</v>
      </c>
      <c r="D73" s="45">
        <f>Bal.sheet!D34</f>
        <v>96.54</v>
      </c>
      <c r="E73" s="45">
        <f>Bal.sheet!E34</f>
        <v>164.49</v>
      </c>
      <c r="F73" s="45">
        <f>Bal.sheet!F34</f>
        <v>566.64</v>
      </c>
      <c r="G73" s="45">
        <f>Bal.sheet!G34</f>
        <v>502.7</v>
      </c>
      <c r="H73" s="45">
        <f>Bal.sheet!H34</f>
        <v>-82.34</v>
      </c>
      <c r="I73" s="45">
        <f>Bal.sheet!I34</f>
        <v>-351.97</v>
      </c>
      <c r="J73" s="45">
        <f>Bal.sheet!J34</f>
        <v>-503.15</v>
      </c>
      <c r="K73" s="45">
        <f>Bal.sheet!K34</f>
        <v>-703.98</v>
      </c>
      <c r="L73" s="46">
        <f t="shared" ref="L73:P77" si="25">(K73)*(1+$P$79)</f>
        <v>-779.28253782655827</v>
      </c>
      <c r="M73" s="46">
        <f t="shared" si="25"/>
        <v>-862.6399525006409</v>
      </c>
      <c r="N73" s="46">
        <f t="shared" si="25"/>
        <v>-954.91384899468892</v>
      </c>
      <c r="O73" s="46">
        <f t="shared" si="25"/>
        <v>-1057.0579954690588</v>
      </c>
      <c r="P73" s="62">
        <f t="shared" si="25"/>
        <v>-1170.1281816798526</v>
      </c>
    </row>
    <row r="74" spans="1:16" ht="14.25" customHeight="1">
      <c r="A74" s="61" t="s">
        <v>84</v>
      </c>
      <c r="B74" s="45">
        <f>Bal.sheet!B36</f>
        <v>13.22</v>
      </c>
      <c r="C74" s="45">
        <f>Bal.sheet!C36</f>
        <v>5.79</v>
      </c>
      <c r="D74" s="45">
        <f>Bal.sheet!D36</f>
        <v>17.8</v>
      </c>
      <c r="E74" s="45">
        <f>Bal.sheet!E36</f>
        <v>102.61</v>
      </c>
      <c r="F74" s="45">
        <f>Bal.sheet!F36</f>
        <v>151.29</v>
      </c>
      <c r="G74" s="45">
        <f>Bal.sheet!G36</f>
        <v>148.94999999999999</v>
      </c>
      <c r="H74" s="45">
        <f>Bal.sheet!H36</f>
        <v>78.319999999999993</v>
      </c>
      <c r="I74" s="45">
        <f>Bal.sheet!I36</f>
        <v>100.24</v>
      </c>
      <c r="J74" s="45">
        <f>Bal.sheet!J36</f>
        <v>103.66</v>
      </c>
      <c r="K74" s="45">
        <f>Bal.sheet!K36</f>
        <v>89.68</v>
      </c>
      <c r="L74" s="46">
        <f t="shared" si="25"/>
        <v>99.272788988729431</v>
      </c>
      <c r="M74" s="46">
        <f t="shared" si="25"/>
        <v>109.89168859947368</v>
      </c>
      <c r="N74" s="46">
        <f t="shared" si="25"/>
        <v>121.64645867474034</v>
      </c>
      <c r="O74" s="46">
        <f t="shared" si="25"/>
        <v>134.65859972394841</v>
      </c>
      <c r="P74" s="62">
        <f t="shared" si="25"/>
        <v>149.06260878583083</v>
      </c>
    </row>
    <row r="75" spans="1:16" ht="14.25" customHeight="1">
      <c r="A75" s="61" t="s">
        <v>85</v>
      </c>
      <c r="B75" s="45">
        <f>Bal.sheet!B37</f>
        <v>89.74</v>
      </c>
      <c r="C75" s="45">
        <f>Bal.sheet!C37</f>
        <v>104.07</v>
      </c>
      <c r="D75" s="45">
        <f>Bal.sheet!D37</f>
        <v>113.83</v>
      </c>
      <c r="E75" s="45">
        <f>Bal.sheet!E37</f>
        <v>110.93</v>
      </c>
      <c r="F75" s="45">
        <f>Bal.sheet!F37</f>
        <v>129.66999999999999</v>
      </c>
      <c r="G75" s="45">
        <f>Bal.sheet!G37</f>
        <v>131.5</v>
      </c>
      <c r="H75" s="45">
        <f>Bal.sheet!H37</f>
        <v>148.36000000000001</v>
      </c>
      <c r="I75" s="45">
        <f>Bal.sheet!I37</f>
        <v>177</v>
      </c>
      <c r="J75" s="45">
        <f>Bal.sheet!J37</f>
        <v>204.16</v>
      </c>
      <c r="K75" s="45">
        <f>Bal.sheet!K37</f>
        <v>222.93</v>
      </c>
      <c r="L75" s="46">
        <f t="shared" si="25"/>
        <v>246.7761245456897</v>
      </c>
      <c r="M75" s="46">
        <f t="shared" si="25"/>
        <v>273.17299441882989</v>
      </c>
      <c r="N75" s="46">
        <f t="shared" si="25"/>
        <v>302.39345486574331</v>
      </c>
      <c r="O75" s="46">
        <f t="shared" si="25"/>
        <v>334.73953653501127</v>
      </c>
      <c r="P75" s="62">
        <f t="shared" si="25"/>
        <v>370.54557734863135</v>
      </c>
    </row>
    <row r="76" spans="1:16" ht="14.25" customHeight="1">
      <c r="A76" s="61" t="s">
        <v>86</v>
      </c>
      <c r="B76" s="45">
        <f>Bal.sheet!B38</f>
        <v>-76.52</v>
      </c>
      <c r="C76" s="45">
        <f>Bal.sheet!C38</f>
        <v>-98.28</v>
      </c>
      <c r="D76" s="45">
        <f>Bal.sheet!D38</f>
        <v>-96.03</v>
      </c>
      <c r="E76" s="45">
        <f>Bal.sheet!E38</f>
        <v>-8.32</v>
      </c>
      <c r="F76" s="45">
        <f>Bal.sheet!F38</f>
        <v>21.62</v>
      </c>
      <c r="G76" s="45">
        <f>Bal.sheet!G38</f>
        <v>17.45</v>
      </c>
      <c r="H76" s="45">
        <f>Bal.sheet!H38</f>
        <v>-70.040000000000006</v>
      </c>
      <c r="I76" s="45">
        <f>Bal.sheet!I38</f>
        <v>-76.760000000000005</v>
      </c>
      <c r="J76" s="45">
        <f>Bal.sheet!J38</f>
        <v>-100.5</v>
      </c>
      <c r="K76" s="45">
        <f>Bal.sheet!K38</f>
        <v>-133.25</v>
      </c>
      <c r="L76" s="46">
        <f t="shared" si="25"/>
        <v>-147.50333555696025</v>
      </c>
      <c r="M76" s="46">
        <f t="shared" si="25"/>
        <v>-163.28130581935622</v>
      </c>
      <c r="N76" s="46">
        <f t="shared" si="25"/>
        <v>-180.74699619100301</v>
      </c>
      <c r="O76" s="46">
        <f t="shared" si="25"/>
        <v>-200.08093681106294</v>
      </c>
      <c r="P76" s="62">
        <f t="shared" si="25"/>
        <v>-221.48296856280061</v>
      </c>
    </row>
    <row r="77" spans="1:16" ht="14.25" customHeight="1">
      <c r="A77" s="61" t="s">
        <v>87</v>
      </c>
      <c r="B77" s="45">
        <f>Bal.sheet!B39</f>
        <v>35.51</v>
      </c>
      <c r="C77" s="45">
        <f>Bal.sheet!C39</f>
        <v>90.8</v>
      </c>
      <c r="D77" s="45">
        <f>Bal.sheet!D39</f>
        <v>76.89</v>
      </c>
      <c r="E77" s="45">
        <f>Bal.sheet!E39</f>
        <v>159.38</v>
      </c>
      <c r="F77" s="45">
        <f>Bal.sheet!F39</f>
        <v>489.03</v>
      </c>
      <c r="G77" s="45">
        <f>Bal.sheet!G39</f>
        <v>221.89</v>
      </c>
      <c r="H77" s="45">
        <f>Bal.sheet!H39</f>
        <v>102.69</v>
      </c>
      <c r="I77" s="45">
        <f>Bal.sheet!I39</f>
        <v>147.24</v>
      </c>
      <c r="J77" s="45">
        <f>Bal.sheet!J39</f>
        <v>149.71</v>
      </c>
      <c r="K77" s="45">
        <f>Bal.sheet!K39</f>
        <v>172.41</v>
      </c>
      <c r="L77" s="46">
        <f t="shared" si="25"/>
        <v>190.85215822420653</v>
      </c>
      <c r="M77" s="46">
        <f t="shared" si="25"/>
        <v>211.26701640761883</v>
      </c>
      <c r="N77" s="46">
        <f t="shared" si="25"/>
        <v>233.86558809223888</v>
      </c>
      <c r="O77" s="46">
        <f t="shared" si="25"/>
        <v>258.88145827838923</v>
      </c>
      <c r="P77" s="62">
        <f t="shared" si="25"/>
        <v>286.57319782298276</v>
      </c>
    </row>
    <row r="78" spans="1:16" ht="14.25" customHeight="1">
      <c r="A78" s="70" t="s">
        <v>90</v>
      </c>
      <c r="B78" s="71">
        <f>Bal.sheet!B43</f>
        <v>3231.51</v>
      </c>
      <c r="C78" s="71">
        <f>Bal.sheet!C43</f>
        <v>3992.86</v>
      </c>
      <c r="D78" s="71">
        <f>Bal.sheet!D43</f>
        <v>4567.76</v>
      </c>
      <c r="E78" s="71">
        <f>Bal.sheet!E43</f>
        <v>4336</v>
      </c>
      <c r="F78" s="71">
        <f>Bal.sheet!F43</f>
        <v>4784.2299999999996</v>
      </c>
      <c r="G78" s="71">
        <f>Bal.sheet!G43</f>
        <v>5628.01</v>
      </c>
      <c r="H78" s="71">
        <f>Bal.sheet!H43</f>
        <v>6484.87</v>
      </c>
      <c r="I78" s="71">
        <f>Bal.sheet!I43</f>
        <v>6964.96</v>
      </c>
      <c r="J78" s="71">
        <f>Bal.sheet!J43</f>
        <v>7756.96</v>
      </c>
      <c r="K78" s="71">
        <f>Bal.sheet!K43</f>
        <v>7866.5</v>
      </c>
      <c r="L78" s="72">
        <f>(K78)*(1+(K78-J78)/K78)</f>
        <v>7976.0400000000009</v>
      </c>
      <c r="M78" s="72">
        <f>(L78)*(1+(L78-K78)/L78)</f>
        <v>8085.5800000000027</v>
      </c>
      <c r="N78" s="72">
        <f>(M78)*(1+(M78-L78)/M78)</f>
        <v>8195.1200000000044</v>
      </c>
      <c r="O78" s="72">
        <f>(N78)*(1+(N78-M78)/N78)</f>
        <v>8304.6600000000071</v>
      </c>
      <c r="P78" s="69">
        <f>(O78)*(1+(O78-N78)/O78)</f>
        <v>8414.2000000000098</v>
      </c>
    </row>
    <row r="79" spans="1:16" ht="14.25" customHeight="1">
      <c r="A79" s="67" t="s">
        <v>142</v>
      </c>
      <c r="B79" s="45"/>
      <c r="C79" s="45">
        <f t="shared" ref="C79:K79" si="26">(C78-B78)/B78</f>
        <v>0.23560193222363535</v>
      </c>
      <c r="D79" s="45">
        <f t="shared" si="26"/>
        <v>0.14398200788407309</v>
      </c>
      <c r="E79" s="45">
        <f t="shared" si="26"/>
        <v>-5.0738217419479176E-2</v>
      </c>
      <c r="F79" s="45">
        <f t="shared" si="26"/>
        <v>0.1033740774907748</v>
      </c>
      <c r="G79" s="45">
        <f t="shared" si="26"/>
        <v>0.17636693888044697</v>
      </c>
      <c r="H79" s="45">
        <f t="shared" si="26"/>
        <v>0.15224919642999918</v>
      </c>
      <c r="I79" s="45">
        <f t="shared" si="26"/>
        <v>7.403232447219453E-2</v>
      </c>
      <c r="J79" s="45">
        <f t="shared" si="26"/>
        <v>0.11371206726241069</v>
      </c>
      <c r="K79" s="45">
        <f t="shared" si="26"/>
        <v>1.4121511519976893E-2</v>
      </c>
      <c r="L79" s="46"/>
      <c r="M79" s="46"/>
      <c r="N79" s="46"/>
      <c r="O79" s="46"/>
      <c r="P79" s="69">
        <f>AVERAGE(B79:K79)</f>
        <v>0.10696687097155916</v>
      </c>
    </row>
    <row r="80" spans="1:16" ht="14.25" customHeight="1">
      <c r="A80" s="61" t="s">
        <v>91</v>
      </c>
      <c r="B80" s="49">
        <f>Bal.sheet!B44</f>
        <v>1183.31</v>
      </c>
      <c r="C80" s="49">
        <f>Bal.sheet!C44</f>
        <v>1055.31</v>
      </c>
      <c r="D80" s="49">
        <f>Bal.sheet!D44</f>
        <v>846.63</v>
      </c>
      <c r="E80" s="49">
        <f>Bal.sheet!E44</f>
        <v>536.74</v>
      </c>
      <c r="F80" s="49">
        <f>Bal.sheet!F44</f>
        <v>222.88</v>
      </c>
      <c r="G80" s="49">
        <f>Bal.sheet!G44</f>
        <v>241.7</v>
      </c>
      <c r="H80" s="49">
        <f>Bal.sheet!H44</f>
        <v>253.92</v>
      </c>
      <c r="I80" s="49">
        <f>Bal.sheet!I44</f>
        <v>248.38</v>
      </c>
      <c r="J80" s="49">
        <f>Bal.sheet!J44</f>
        <v>221.08</v>
      </c>
      <c r="K80" s="49">
        <f>Bal.sheet!K44</f>
        <v>562.29999999999995</v>
      </c>
      <c r="L80" s="46"/>
      <c r="M80" s="46"/>
      <c r="N80" s="46"/>
      <c r="O80" s="46"/>
      <c r="P80" s="62"/>
    </row>
    <row r="81" spans="1:16" ht="14.25" customHeight="1">
      <c r="A81" s="74" t="s">
        <v>150</v>
      </c>
      <c r="B81" s="45"/>
      <c r="C81" s="45">
        <f t="shared" ref="C81:K81" si="27">(C61+B61)/2</f>
        <v>607.41499999999996</v>
      </c>
      <c r="D81" s="45">
        <f t="shared" si="27"/>
        <v>652.03</v>
      </c>
      <c r="E81" s="45">
        <f t="shared" si="27"/>
        <v>718.84500000000003</v>
      </c>
      <c r="F81" s="45">
        <f t="shared" si="27"/>
        <v>771.02</v>
      </c>
      <c r="G81" s="45">
        <f t="shared" si="27"/>
        <v>961.65000000000009</v>
      </c>
      <c r="H81" s="45">
        <f t="shared" si="27"/>
        <v>1176.06</v>
      </c>
      <c r="I81" s="45">
        <f t="shared" si="27"/>
        <v>1230.865</v>
      </c>
      <c r="J81" s="45">
        <f t="shared" si="27"/>
        <v>1186.825</v>
      </c>
      <c r="K81" s="45">
        <f t="shared" si="27"/>
        <v>1218.9749999999999</v>
      </c>
      <c r="L81" s="46"/>
      <c r="M81" s="46"/>
      <c r="N81" s="46"/>
      <c r="O81" s="46"/>
      <c r="P81" s="62"/>
    </row>
    <row r="82" spans="1:16" ht="14.25" customHeight="1">
      <c r="A82" s="74" t="s">
        <v>151</v>
      </c>
      <c r="B82" s="45"/>
      <c r="C82" s="45">
        <f t="shared" ref="C82:K82" si="28">(C63+B63)/2</f>
        <v>376.97</v>
      </c>
      <c r="D82" s="45">
        <f t="shared" si="28"/>
        <v>327.29499999999996</v>
      </c>
      <c r="E82" s="45">
        <f t="shared" si="28"/>
        <v>376.4</v>
      </c>
      <c r="F82" s="45">
        <f t="shared" si="28"/>
        <v>405.54499999999996</v>
      </c>
      <c r="G82" s="45">
        <f t="shared" si="28"/>
        <v>330.435</v>
      </c>
      <c r="H82" s="45">
        <f t="shared" si="28"/>
        <v>367.89499999999998</v>
      </c>
      <c r="I82" s="45">
        <f t="shared" si="28"/>
        <v>507.86500000000001</v>
      </c>
      <c r="J82" s="45">
        <f t="shared" si="28"/>
        <v>640.19499999999994</v>
      </c>
      <c r="K82" s="45">
        <f t="shared" si="28"/>
        <v>659.89499999999998</v>
      </c>
      <c r="L82" s="46"/>
      <c r="M82" s="46"/>
      <c r="N82" s="46"/>
      <c r="O82" s="46"/>
      <c r="P82" s="62"/>
    </row>
    <row r="83" spans="1:16" ht="14.25" customHeight="1">
      <c r="A83" s="74" t="s">
        <v>152</v>
      </c>
      <c r="B83" s="45"/>
      <c r="C83" s="45">
        <f t="shared" ref="C83:K83" si="29">(C69+B69)/2</f>
        <v>1066.1099999999999</v>
      </c>
      <c r="D83" s="45">
        <f t="shared" si="29"/>
        <v>1070.9949999999999</v>
      </c>
      <c r="E83" s="45">
        <f t="shared" si="29"/>
        <v>1113.08</v>
      </c>
      <c r="F83" s="45">
        <f t="shared" si="29"/>
        <v>1166.96</v>
      </c>
      <c r="G83" s="45">
        <f t="shared" si="29"/>
        <v>1451.7350000000001</v>
      </c>
      <c r="H83" s="45">
        <f t="shared" si="29"/>
        <v>1779.625</v>
      </c>
      <c r="I83" s="45">
        <f t="shared" si="29"/>
        <v>1976.1849999999999</v>
      </c>
      <c r="J83" s="45">
        <f t="shared" si="29"/>
        <v>2252.5</v>
      </c>
      <c r="K83" s="45">
        <f t="shared" si="29"/>
        <v>2529.91</v>
      </c>
      <c r="L83" s="46"/>
      <c r="M83" s="46"/>
      <c r="N83" s="46"/>
      <c r="O83" s="46"/>
      <c r="P83" s="62"/>
    </row>
    <row r="84" spans="1:16" ht="14.25" customHeight="1">
      <c r="A84" s="61" t="s">
        <v>153</v>
      </c>
      <c r="B84" s="49">
        <f t="shared" ref="B84:K84" si="30">B66-B69</f>
        <v>89.290000000000191</v>
      </c>
      <c r="C84" s="49">
        <f t="shared" si="30"/>
        <v>-10.879999999999882</v>
      </c>
      <c r="D84" s="49">
        <f t="shared" si="30"/>
        <v>164.83000000000015</v>
      </c>
      <c r="E84" s="49">
        <f t="shared" si="30"/>
        <v>253.41000000000008</v>
      </c>
      <c r="F84" s="49">
        <f t="shared" si="30"/>
        <v>694.13999999999987</v>
      </c>
      <c r="G84" s="49">
        <f t="shared" si="30"/>
        <v>663.76</v>
      </c>
      <c r="H84" s="49">
        <f t="shared" si="30"/>
        <v>110.58999999999992</v>
      </c>
      <c r="I84" s="49">
        <f t="shared" si="30"/>
        <v>-149.46000000000004</v>
      </c>
      <c r="J84" s="49">
        <f t="shared" si="30"/>
        <v>-224.59000000000015</v>
      </c>
      <c r="K84" s="49">
        <f t="shared" si="30"/>
        <v>-361.29000000000042</v>
      </c>
      <c r="L84" s="50">
        <f>L69-L66</f>
        <v>475.6400443131015</v>
      </c>
      <c r="M84" s="50">
        <f>M69-M66</f>
        <v>610.25580967426777</v>
      </c>
      <c r="N84" s="50">
        <f>N69-N66</f>
        <v>768.17543290710955</v>
      </c>
      <c r="O84" s="50">
        <f>O69-O66</f>
        <v>952.85816494074561</v>
      </c>
      <c r="P84" s="75">
        <f>P69-P66</f>
        <v>1168.2402211273534</v>
      </c>
    </row>
    <row r="85" spans="1:16" ht="14.25" customHeight="1">
      <c r="A85" s="76" t="s">
        <v>154</v>
      </c>
      <c r="B85" s="73"/>
      <c r="C85" s="71">
        <f t="shared" ref="C85:P85" si="31">C84-B84</f>
        <v>-100.17000000000007</v>
      </c>
      <c r="D85" s="71">
        <f t="shared" si="31"/>
        <v>175.71000000000004</v>
      </c>
      <c r="E85" s="71">
        <f t="shared" si="31"/>
        <v>88.579999999999927</v>
      </c>
      <c r="F85" s="71">
        <f t="shared" si="31"/>
        <v>440.72999999999979</v>
      </c>
      <c r="G85" s="71">
        <f t="shared" si="31"/>
        <v>-30.379999999999882</v>
      </c>
      <c r="H85" s="71">
        <f t="shared" si="31"/>
        <v>-553.17000000000007</v>
      </c>
      <c r="I85" s="71">
        <f t="shared" si="31"/>
        <v>-260.04999999999995</v>
      </c>
      <c r="J85" s="71">
        <f t="shared" si="31"/>
        <v>-75.130000000000109</v>
      </c>
      <c r="K85" s="71">
        <f t="shared" si="31"/>
        <v>-136.70000000000027</v>
      </c>
      <c r="L85" s="77">
        <f t="shared" si="31"/>
        <v>836.93004431310192</v>
      </c>
      <c r="M85" s="77">
        <f t="shared" si="31"/>
        <v>134.61576536116627</v>
      </c>
      <c r="N85" s="77">
        <f t="shared" si="31"/>
        <v>157.91962323284179</v>
      </c>
      <c r="O85" s="77">
        <f t="shared" si="31"/>
        <v>184.68273203363606</v>
      </c>
      <c r="P85" s="78">
        <f t="shared" si="31"/>
        <v>215.38205618660777</v>
      </c>
    </row>
    <row r="86" spans="1:16" ht="14.25" customHeight="1">
      <c r="A86" s="61"/>
      <c r="P86" s="41"/>
    </row>
    <row r="87" spans="1:16" ht="14.25" customHeight="1">
      <c r="A87" s="42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P87" s="41"/>
    </row>
    <row r="88" spans="1:16" ht="14.25" customHeight="1">
      <c r="A88" s="42"/>
      <c r="P88" s="41"/>
    </row>
    <row r="89" spans="1:16" ht="14.25" customHeight="1">
      <c r="A89" s="8" t="s">
        <v>155</v>
      </c>
      <c r="B89" s="80">
        <v>2016</v>
      </c>
      <c r="C89" s="80">
        <v>2017</v>
      </c>
      <c r="D89" s="80">
        <v>2018</v>
      </c>
      <c r="E89" s="80">
        <v>2019</v>
      </c>
      <c r="F89" s="80">
        <v>2020</v>
      </c>
      <c r="G89" s="80">
        <v>2021</v>
      </c>
      <c r="H89" s="80">
        <v>2022</v>
      </c>
      <c r="I89" s="80">
        <v>2023</v>
      </c>
      <c r="J89" s="80">
        <v>2024</v>
      </c>
      <c r="K89" s="80">
        <v>2025</v>
      </c>
      <c r="L89" s="80">
        <v>2026</v>
      </c>
      <c r="M89" s="80">
        <v>2027</v>
      </c>
      <c r="N89" s="80">
        <v>2028</v>
      </c>
      <c r="O89" s="80">
        <v>2029</v>
      </c>
      <c r="P89" s="81">
        <v>2030</v>
      </c>
    </row>
    <row r="90" spans="1:16" ht="15" customHeight="1">
      <c r="A90" s="8"/>
      <c r="B90" s="82">
        <f t="shared" ref="B90:P90" si="32">B52-B78</f>
        <v>0</v>
      </c>
      <c r="C90" s="82">
        <f t="shared" si="32"/>
        <v>0</v>
      </c>
      <c r="D90" s="82">
        <f t="shared" si="32"/>
        <v>0</v>
      </c>
      <c r="E90" s="82">
        <f t="shared" si="32"/>
        <v>0</v>
      </c>
      <c r="F90" s="82">
        <f t="shared" si="32"/>
        <v>0</v>
      </c>
      <c r="G90" s="82">
        <f t="shared" si="32"/>
        <v>0</v>
      </c>
      <c r="H90" s="82">
        <f t="shared" si="32"/>
        <v>0</v>
      </c>
      <c r="I90" s="82">
        <f t="shared" si="32"/>
        <v>0</v>
      </c>
      <c r="J90" s="82">
        <f t="shared" si="32"/>
        <v>0</v>
      </c>
      <c r="K90" s="82">
        <f t="shared" si="32"/>
        <v>0</v>
      </c>
      <c r="L90" s="82">
        <f t="shared" si="32"/>
        <v>0</v>
      </c>
      <c r="M90" s="82">
        <f t="shared" si="32"/>
        <v>0</v>
      </c>
      <c r="N90" s="82">
        <f t="shared" si="32"/>
        <v>0</v>
      </c>
      <c r="O90" s="82">
        <f t="shared" si="32"/>
        <v>0</v>
      </c>
      <c r="P90" s="83">
        <f t="shared" si="32"/>
        <v>0</v>
      </c>
    </row>
    <row r="92" spans="1:16">
      <c r="A92" s="324" t="s">
        <v>413</v>
      </c>
      <c r="B92" s="324"/>
    </row>
    <row r="93" spans="1:16">
      <c r="A93" s="324"/>
      <c r="B93" s="324"/>
    </row>
    <row r="94" spans="1:16">
      <c r="A94" s="324"/>
      <c r="B94" s="324"/>
    </row>
    <row r="95" spans="1:16">
      <c r="A95" s="34" t="s">
        <v>182</v>
      </c>
      <c r="B95">
        <v>2016</v>
      </c>
      <c r="C95">
        <v>2017</v>
      </c>
      <c r="D95">
        <v>2018</v>
      </c>
      <c r="E95">
        <v>2019</v>
      </c>
      <c r="F95">
        <v>2020</v>
      </c>
      <c r="G95">
        <v>2021</v>
      </c>
      <c r="H95">
        <v>2022</v>
      </c>
      <c r="I95">
        <v>2023</v>
      </c>
      <c r="J95">
        <v>2024</v>
      </c>
      <c r="K95">
        <v>2025</v>
      </c>
      <c r="L95">
        <v>2026</v>
      </c>
      <c r="M95">
        <v>2027</v>
      </c>
      <c r="N95">
        <v>2028</v>
      </c>
      <c r="O95">
        <v>2029</v>
      </c>
      <c r="P95">
        <v>2030</v>
      </c>
    </row>
    <row r="96" spans="1:16">
      <c r="A96" s="34" t="s">
        <v>216</v>
      </c>
      <c r="B96">
        <v>1209.3499999999999</v>
      </c>
      <c r="C96">
        <v>1294.3499999999999</v>
      </c>
      <c r="D96">
        <v>1373.13</v>
      </c>
      <c r="E96">
        <v>1503.35</v>
      </c>
      <c r="F96">
        <v>1408.47</v>
      </c>
      <c r="G96">
        <v>1683.31</v>
      </c>
      <c r="H96">
        <v>1896.31</v>
      </c>
      <c r="I96">
        <v>1828.67</v>
      </c>
      <c r="J96">
        <v>1966.7</v>
      </c>
      <c r="K96">
        <v>1808.34</v>
      </c>
      <c r="L96">
        <v>1887.5500183710378</v>
      </c>
      <c r="M96">
        <v>1967.7080579762501</v>
      </c>
      <c r="N96">
        <v>2048.3321280991072</v>
      </c>
      <c r="O96">
        <v>2128.8320456090773</v>
      </c>
      <c r="P96">
        <v>2208.4911032502973</v>
      </c>
    </row>
    <row r="97" spans="1:16">
      <c r="A97" s="34" t="s">
        <v>217</v>
      </c>
      <c r="B97">
        <v>72.83</v>
      </c>
      <c r="C97">
        <v>75.430000000000007</v>
      </c>
      <c r="D97">
        <v>102.5</v>
      </c>
      <c r="E97">
        <v>108.83</v>
      </c>
      <c r="F97">
        <v>129.93</v>
      </c>
      <c r="G97">
        <v>143.4</v>
      </c>
      <c r="H97">
        <v>160.38999999999999</v>
      </c>
      <c r="I97">
        <v>188.29</v>
      </c>
      <c r="J97">
        <v>208.86</v>
      </c>
      <c r="K97">
        <v>250.93</v>
      </c>
      <c r="L97">
        <v>288.76430426000104</v>
      </c>
      <c r="M97">
        <v>332.30312603021736</v>
      </c>
      <c r="N97">
        <v>382.40657152010181</v>
      </c>
      <c r="O97">
        <v>440.06443059600093</v>
      </c>
      <c r="P97">
        <v>506.41573000688521</v>
      </c>
    </row>
    <row r="98" spans="1:16">
      <c r="A98" s="34" t="s">
        <v>218</v>
      </c>
      <c r="B98">
        <v>10.26</v>
      </c>
      <c r="C98">
        <v>16.23</v>
      </c>
      <c r="D98">
        <v>21.89</v>
      </c>
      <c r="E98">
        <v>29.8</v>
      </c>
      <c r="F98">
        <v>19.27</v>
      </c>
      <c r="G98">
        <v>9.14</v>
      </c>
      <c r="H98">
        <v>18.670000000000002</v>
      </c>
      <c r="I98">
        <v>46.37</v>
      </c>
      <c r="J98">
        <v>81.14</v>
      </c>
      <c r="K98">
        <v>99.58</v>
      </c>
      <c r="L98">
        <v>142.91223879401483</v>
      </c>
      <c r="M98">
        <v>205.1005020799108</v>
      </c>
      <c r="N98">
        <v>294.34998925503663</v>
      </c>
      <c r="O98">
        <v>422.43639238232072</v>
      </c>
      <c r="P98">
        <v>606.25959613802343</v>
      </c>
    </row>
    <row r="99" spans="1:16">
      <c r="A99" s="34" t="s">
        <v>219</v>
      </c>
      <c r="B99">
        <v>1292.4399999999998</v>
      </c>
      <c r="C99">
        <v>1386.01</v>
      </c>
      <c r="D99">
        <v>1497.5200000000002</v>
      </c>
      <c r="E99">
        <v>1641.9799999999998</v>
      </c>
      <c r="F99">
        <v>1557.67</v>
      </c>
      <c r="G99">
        <v>1835.8500000000001</v>
      </c>
      <c r="H99">
        <v>2075.37</v>
      </c>
      <c r="I99">
        <v>2063.33</v>
      </c>
      <c r="J99">
        <v>2256.6999999999998</v>
      </c>
      <c r="K99">
        <v>2158.85</v>
      </c>
      <c r="L99">
        <v>2319.2265614250537</v>
      </c>
      <c r="M99">
        <v>2505.1116860863781</v>
      </c>
      <c r="N99">
        <v>2725.0886888742457</v>
      </c>
      <c r="O99">
        <v>2991.3328685873989</v>
      </c>
      <c r="P99">
        <v>3321.1664293952058</v>
      </c>
    </row>
    <row r="100" spans="1:16">
      <c r="A100" s="34" t="s">
        <v>220</v>
      </c>
    </row>
    <row r="101" spans="1:16">
      <c r="A101" s="34" t="s">
        <v>18</v>
      </c>
      <c r="B101">
        <v>-64.95</v>
      </c>
      <c r="C101">
        <v>16.28</v>
      </c>
      <c r="D101">
        <v>-105.52</v>
      </c>
      <c r="E101">
        <v>-28.1</v>
      </c>
      <c r="F101">
        <v>-76.239999999999995</v>
      </c>
      <c r="G101">
        <v>-305.02</v>
      </c>
      <c r="H101">
        <v>-123.8</v>
      </c>
      <c r="I101">
        <v>14.19</v>
      </c>
      <c r="J101">
        <v>73.89</v>
      </c>
      <c r="K101">
        <v>-138.19</v>
      </c>
      <c r="L101">
        <v>836.93004431310192</v>
      </c>
      <c r="M101">
        <v>134.61576536116627</v>
      </c>
      <c r="N101">
        <v>157.91962323284179</v>
      </c>
      <c r="O101">
        <v>184.68273203363606</v>
      </c>
      <c r="P101">
        <v>215.38205618660777</v>
      </c>
    </row>
    <row r="102" spans="1:16">
      <c r="A102" s="34" t="s">
        <v>221</v>
      </c>
      <c r="B102">
        <v>-78.59</v>
      </c>
      <c r="C102">
        <v>87.43</v>
      </c>
      <c r="D102">
        <v>10.82</v>
      </c>
      <c r="E102">
        <v>-112.39</v>
      </c>
      <c r="F102">
        <v>53.94</v>
      </c>
      <c r="G102">
        <v>94.27</v>
      </c>
      <c r="H102">
        <v>-176</v>
      </c>
      <c r="I102">
        <v>-113.54</v>
      </c>
      <c r="J102">
        <v>-158.16999999999999</v>
      </c>
      <c r="K102">
        <v>115.22</v>
      </c>
    </row>
    <row r="103" spans="1:16">
      <c r="A103" s="34" t="s">
        <v>222</v>
      </c>
      <c r="B103">
        <v>0</v>
      </c>
      <c r="C103">
        <v>-24.96</v>
      </c>
      <c r="D103">
        <v>-90.17</v>
      </c>
      <c r="E103">
        <v>67.91</v>
      </c>
      <c r="F103">
        <v>-52.16</v>
      </c>
      <c r="G103">
        <v>96.39</v>
      </c>
      <c r="H103">
        <v>34.369999999999997</v>
      </c>
      <c r="I103">
        <v>42.95</v>
      </c>
      <c r="J103">
        <v>-66.58</v>
      </c>
      <c r="K103">
        <v>-87.93</v>
      </c>
    </row>
    <row r="104" spans="1:16">
      <c r="A104" s="34" t="s">
        <v>194</v>
      </c>
      <c r="B104">
        <v>204.25</v>
      </c>
      <c r="C104">
        <v>-24.18</v>
      </c>
      <c r="D104">
        <v>31.57</v>
      </c>
      <c r="E104">
        <v>37.75</v>
      </c>
      <c r="F104">
        <v>33.4</v>
      </c>
      <c r="G104">
        <v>448.92</v>
      </c>
      <c r="H104">
        <v>100.66</v>
      </c>
      <c r="I104">
        <v>237.83</v>
      </c>
      <c r="J104">
        <v>240.2</v>
      </c>
      <c r="K104">
        <v>282.45</v>
      </c>
    </row>
    <row r="105" spans="1:16">
      <c r="A105" s="34" t="s">
        <v>196</v>
      </c>
    </row>
    <row r="106" spans="1:16">
      <c r="A106" s="34" t="s">
        <v>223</v>
      </c>
      <c r="B106">
        <v>60.71</v>
      </c>
      <c r="C106">
        <v>54.57</v>
      </c>
      <c r="D106">
        <v>-153.30000000000001</v>
      </c>
      <c r="E106">
        <v>-34.83</v>
      </c>
      <c r="F106">
        <v>-41.06</v>
      </c>
      <c r="G106">
        <v>334.56</v>
      </c>
      <c r="H106">
        <v>-164.77</v>
      </c>
      <c r="I106">
        <v>181.43</v>
      </c>
      <c r="J106">
        <v>89.34</v>
      </c>
      <c r="K106">
        <v>171.55</v>
      </c>
    </row>
    <row r="107" spans="1:16">
      <c r="A107" s="34" t="s">
        <v>224</v>
      </c>
      <c r="B107">
        <v>-260.73</v>
      </c>
      <c r="C107">
        <v>-274.5</v>
      </c>
      <c r="D107">
        <v>-301.07</v>
      </c>
      <c r="E107">
        <v>-319.56</v>
      </c>
      <c r="F107">
        <v>-268.94</v>
      </c>
      <c r="G107">
        <v>-274.60000000000002</v>
      </c>
      <c r="H107">
        <v>-328.45</v>
      </c>
      <c r="I107">
        <v>-432.35</v>
      </c>
      <c r="J107">
        <v>-390.33</v>
      </c>
      <c r="K107">
        <v>-327.67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34" t="s">
        <v>225</v>
      </c>
      <c r="B108">
        <v>960.3</v>
      </c>
      <c r="C108">
        <v>926.94</v>
      </c>
      <c r="D108">
        <v>816.41</v>
      </c>
      <c r="E108">
        <v>1123.57</v>
      </c>
      <c r="F108">
        <v>1154.77</v>
      </c>
      <c r="G108">
        <v>1704.17</v>
      </c>
      <c r="H108">
        <v>1319.95</v>
      </c>
      <c r="I108">
        <v>1561.91</v>
      </c>
      <c r="J108">
        <v>1653.33</v>
      </c>
      <c r="K108">
        <v>1622.97</v>
      </c>
      <c r="L108">
        <v>3156.1566057381556</v>
      </c>
      <c r="M108">
        <v>2639.7274514475444</v>
      </c>
      <c r="N108">
        <v>2883.0083121070875</v>
      </c>
      <c r="O108">
        <v>3176.015600621035</v>
      </c>
      <c r="P108">
        <v>3536.5484855818136</v>
      </c>
    </row>
    <row r="110" spans="1:16">
      <c r="A110" s="34" t="s">
        <v>226</v>
      </c>
      <c r="B110">
        <v>-106.84</v>
      </c>
      <c r="C110">
        <v>-411.12</v>
      </c>
      <c r="D110">
        <v>-110.74</v>
      </c>
      <c r="E110">
        <v>-125.28</v>
      </c>
      <c r="F110">
        <v>-264.54000000000002</v>
      </c>
      <c r="G110">
        <v>-249.9</v>
      </c>
      <c r="H110">
        <v>-296.77</v>
      </c>
      <c r="I110">
        <v>-410.05</v>
      </c>
      <c r="J110">
        <v>-456.55</v>
      </c>
      <c r="K110">
        <v>-351.78</v>
      </c>
    </row>
    <row r="111" spans="1:16">
      <c r="A111" s="34" t="s">
        <v>227</v>
      </c>
      <c r="B111">
        <v>-494.33</v>
      </c>
      <c r="C111">
        <v>-678.94</v>
      </c>
      <c r="D111">
        <v>-261.18</v>
      </c>
      <c r="E111">
        <v>417.78</v>
      </c>
      <c r="F111">
        <v>-330.28</v>
      </c>
      <c r="G111">
        <v>-1120.3699999999999</v>
      </c>
      <c r="H111">
        <v>-681.7</v>
      </c>
      <c r="I111">
        <v>-617.20000000000005</v>
      </c>
      <c r="J111">
        <v>-736.09</v>
      </c>
      <c r="K111">
        <v>-98.9</v>
      </c>
    </row>
    <row r="113" spans="1:16">
      <c r="A113" s="34" t="s">
        <v>228</v>
      </c>
      <c r="B113">
        <v>10.26</v>
      </c>
      <c r="C113">
        <v>16.23</v>
      </c>
      <c r="D113">
        <v>21.89</v>
      </c>
      <c r="E113">
        <v>29.8</v>
      </c>
      <c r="F113">
        <v>19.27</v>
      </c>
      <c r="G113">
        <v>9.14</v>
      </c>
      <c r="H113">
        <v>18.670000000000002</v>
      </c>
      <c r="I113">
        <v>46.37</v>
      </c>
      <c r="J113">
        <v>81.14</v>
      </c>
      <c r="K113">
        <v>99.58</v>
      </c>
      <c r="L113">
        <v>142.91223879401483</v>
      </c>
      <c r="M113">
        <v>205.1005020799108</v>
      </c>
      <c r="N113">
        <v>294.34998925503663</v>
      </c>
      <c r="O113">
        <v>422.43639238232072</v>
      </c>
      <c r="P113">
        <v>606.25959613802343</v>
      </c>
    </row>
    <row r="114" spans="1:16">
      <c r="A114" s="34" t="s">
        <v>50</v>
      </c>
      <c r="B114">
        <v>-351.12</v>
      </c>
      <c r="C114">
        <v>-396.34</v>
      </c>
      <c r="D114">
        <v>-396.34</v>
      </c>
      <c r="E114">
        <v>-1324.71</v>
      </c>
      <c r="F114">
        <v>-512.45000000000005</v>
      </c>
      <c r="G114">
        <v>-592.09</v>
      </c>
      <c r="H114">
        <v>-972.32</v>
      </c>
      <c r="I114">
        <v>-921.31</v>
      </c>
      <c r="J114">
        <v>-965.76</v>
      </c>
      <c r="K114">
        <v>-974.78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34" t="s">
        <v>229</v>
      </c>
      <c r="B115">
        <v>-455.04</v>
      </c>
      <c r="C115">
        <v>-273.66000000000003</v>
      </c>
      <c r="D115">
        <v>-496.18</v>
      </c>
      <c r="E115">
        <v>-1619.39</v>
      </c>
      <c r="F115">
        <v>-826</v>
      </c>
      <c r="G115">
        <v>-555.04</v>
      </c>
      <c r="H115">
        <v>-634.79</v>
      </c>
      <c r="I115">
        <v>-939.83</v>
      </c>
      <c r="J115">
        <v>-921.82</v>
      </c>
      <c r="K115">
        <v>-1510.68</v>
      </c>
      <c r="L115">
        <v>-142.91223879401483</v>
      </c>
      <c r="M115">
        <v>-205.1005020799108</v>
      </c>
      <c r="N115">
        <v>-294.34998925503663</v>
      </c>
      <c r="O115">
        <v>-422.43639238232072</v>
      </c>
      <c r="P115">
        <v>-606.25959613802343</v>
      </c>
    </row>
    <row r="117" spans="1:16">
      <c r="A117" s="34" t="s">
        <v>230</v>
      </c>
      <c r="B117">
        <v>10.93</v>
      </c>
      <c r="C117">
        <v>-25.66</v>
      </c>
      <c r="D117">
        <v>59.05</v>
      </c>
      <c r="E117">
        <v>-78.040000000000006</v>
      </c>
      <c r="F117">
        <v>-1.51</v>
      </c>
      <c r="G117">
        <v>28.76</v>
      </c>
      <c r="H117">
        <v>3.46</v>
      </c>
      <c r="I117">
        <v>4.88</v>
      </c>
      <c r="J117">
        <v>-4.58</v>
      </c>
      <c r="K117">
        <v>13.39</v>
      </c>
      <c r="L117">
        <v>3013.2443669441409</v>
      </c>
      <c r="M117">
        <v>2434.6269493676336</v>
      </c>
      <c r="N117">
        <v>2588.6583228520508</v>
      </c>
      <c r="O117">
        <v>2753.5792082387143</v>
      </c>
      <c r="P117">
        <v>2930.2888894437901</v>
      </c>
    </row>
    <row r="118" spans="1:16">
      <c r="A118" s="34" t="s">
        <v>231</v>
      </c>
      <c r="B118">
        <v>13.49</v>
      </c>
      <c r="C118">
        <v>24.41</v>
      </c>
      <c r="D118">
        <v>-1.25</v>
      </c>
      <c r="E118">
        <v>57.8</v>
      </c>
      <c r="F118">
        <v>-20.239999999999998</v>
      </c>
      <c r="G118">
        <v>-21.75</v>
      </c>
      <c r="H118">
        <v>7.01</v>
      </c>
      <c r="I118">
        <v>10.47</v>
      </c>
      <c r="J118">
        <v>15.35</v>
      </c>
      <c r="K118">
        <v>10.77</v>
      </c>
      <c r="L118">
        <v>24.16</v>
      </c>
      <c r="M118">
        <v>3037.4043669441407</v>
      </c>
      <c r="N118">
        <v>5472.0313163117744</v>
      </c>
      <c r="O118">
        <v>8060.6896391638256</v>
      </c>
      <c r="P118">
        <v>10814.26884740254</v>
      </c>
    </row>
    <row r="119" spans="1:16">
      <c r="A119" s="34" t="s">
        <v>232</v>
      </c>
      <c r="B119">
        <v>24.42</v>
      </c>
      <c r="C119">
        <v>-1.25</v>
      </c>
      <c r="D119">
        <v>57.8</v>
      </c>
      <c r="E119">
        <v>-20.239999999999998</v>
      </c>
      <c r="F119">
        <v>-21.75</v>
      </c>
      <c r="G119">
        <v>7.01</v>
      </c>
      <c r="H119">
        <v>10.47</v>
      </c>
      <c r="I119">
        <v>15.35</v>
      </c>
      <c r="J119">
        <v>10.77</v>
      </c>
      <c r="K119">
        <v>24.16</v>
      </c>
      <c r="L119">
        <v>3037.4043669441407</v>
      </c>
      <c r="M119">
        <v>5472.0313163117744</v>
      </c>
      <c r="N119">
        <v>8060.6896391638256</v>
      </c>
      <c r="O119">
        <v>10814.26884740254</v>
      </c>
      <c r="P119">
        <v>13744.557736846331</v>
      </c>
    </row>
    <row r="121" spans="1:16">
      <c r="A121" s="34" t="s">
        <v>233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391" spans="29:29" ht="14.25" customHeight="1">
      <c r="AC391">
        <v>1</v>
      </c>
    </row>
  </sheetData>
  <mergeCells count="4">
    <mergeCell ref="E1:I2"/>
    <mergeCell ref="A41:E42"/>
    <mergeCell ref="A89:A90"/>
    <mergeCell ref="A92:B9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9"/>
  <sheetViews>
    <sheetView zoomScale="67" zoomScaleNormal="67" workbookViewId="0">
      <selection activeCell="L6" sqref="L6:P32"/>
    </sheetView>
  </sheetViews>
  <sheetFormatPr defaultColWidth="8.6640625" defaultRowHeight="14.4"/>
  <cols>
    <col min="1" max="1" width="41.5546875" customWidth="1"/>
    <col min="12" max="12" width="18.109375" customWidth="1"/>
    <col min="13" max="13" width="25" customWidth="1"/>
    <col min="14" max="14" width="22" customWidth="1"/>
    <col min="15" max="15" width="21.88671875" customWidth="1"/>
    <col min="16" max="16" width="27.109375" customWidth="1"/>
  </cols>
  <sheetData>
    <row r="1" spans="1:16" ht="14.25" customHeight="1">
      <c r="A1" s="84" t="s">
        <v>156</v>
      </c>
      <c r="B1" s="7" t="s">
        <v>157</v>
      </c>
      <c r="C1" s="7"/>
      <c r="D1" s="7"/>
      <c r="E1" s="7"/>
      <c r="F1" s="7"/>
      <c r="G1" s="6" t="s">
        <v>158</v>
      </c>
      <c r="H1" s="6"/>
      <c r="I1" s="6"/>
      <c r="J1" s="6"/>
      <c r="K1" s="6"/>
    </row>
    <row r="2" spans="1:16" ht="14.25" customHeight="1">
      <c r="A2" s="85" t="s">
        <v>159</v>
      </c>
      <c r="B2" s="86">
        <v>365</v>
      </c>
      <c r="C2" s="86">
        <v>365</v>
      </c>
      <c r="D2" s="86">
        <v>365</v>
      </c>
      <c r="E2" s="86">
        <v>365</v>
      </c>
      <c r="F2" s="87">
        <v>365</v>
      </c>
      <c r="G2" s="88">
        <v>365</v>
      </c>
      <c r="H2" s="88">
        <v>365</v>
      </c>
      <c r="I2" s="88">
        <v>365</v>
      </c>
      <c r="J2" s="88">
        <v>365</v>
      </c>
      <c r="K2" s="89">
        <v>365</v>
      </c>
    </row>
    <row r="3" spans="1:16" ht="14.25" customHeight="1">
      <c r="A3" s="90"/>
    </row>
    <row r="4" spans="1:16" ht="14.25" customHeight="1">
      <c r="A4" s="91" t="s">
        <v>160</v>
      </c>
    </row>
    <row r="5" spans="1:16" ht="14.25" customHeight="1">
      <c r="A5" s="5" t="s">
        <v>161</v>
      </c>
      <c r="B5" s="43">
        <v>2016</v>
      </c>
      <c r="C5" s="43">
        <v>2017</v>
      </c>
      <c r="D5" s="43">
        <v>2018</v>
      </c>
      <c r="E5" s="43">
        <v>2019</v>
      </c>
      <c r="F5" s="43">
        <v>2020</v>
      </c>
      <c r="G5" s="43">
        <v>2021</v>
      </c>
      <c r="H5" s="43">
        <v>2022</v>
      </c>
      <c r="I5" s="43">
        <v>2023</v>
      </c>
      <c r="J5" s="43">
        <v>2024</v>
      </c>
      <c r="K5" s="43">
        <v>2025</v>
      </c>
      <c r="L5" s="43">
        <v>2026</v>
      </c>
      <c r="M5" s="43">
        <v>2027</v>
      </c>
      <c r="N5" s="43">
        <v>2028</v>
      </c>
      <c r="O5" s="43">
        <v>2029</v>
      </c>
      <c r="P5" s="43">
        <v>2030</v>
      </c>
    </row>
    <row r="6" spans="1:16" ht="14.25" customHeight="1">
      <c r="A6" s="5"/>
      <c r="B6" s="337"/>
      <c r="C6" s="337"/>
      <c r="D6" s="337"/>
      <c r="E6" s="337"/>
      <c r="F6" s="337"/>
      <c r="G6" s="337"/>
      <c r="H6" s="337"/>
      <c r="I6" s="337"/>
      <c r="J6" s="337"/>
      <c r="K6" s="337"/>
      <c r="L6" s="339"/>
      <c r="M6" s="339"/>
      <c r="N6" s="339"/>
      <c r="O6" s="339"/>
      <c r="P6" s="339"/>
    </row>
    <row r="7" spans="1:16" ht="14.25" customHeight="1">
      <c r="A7" s="92" t="s">
        <v>162</v>
      </c>
      <c r="B7" s="338">
        <f>PL!K4</f>
        <v>5422.57</v>
      </c>
      <c r="C7" s="338">
        <f>PL!J4</f>
        <v>5369.84</v>
      </c>
      <c r="D7" s="338">
        <f>PL!I4</f>
        <v>5609.06</v>
      </c>
      <c r="E7" s="338">
        <f>PL!H4</f>
        <v>6273.19</v>
      </c>
      <c r="F7" s="338">
        <f>PL!G4</f>
        <v>6309.8</v>
      </c>
      <c r="G7" s="338">
        <f>PL!F4</f>
        <v>7184.73</v>
      </c>
      <c r="H7" s="338">
        <f>PL!E4</f>
        <v>8179.5</v>
      </c>
      <c r="I7" s="338">
        <f>PL!D4</f>
        <v>8684.35</v>
      </c>
      <c r="J7" s="338">
        <f>PL!C4</f>
        <v>9135.6</v>
      </c>
      <c r="K7" s="338">
        <f>PL!B4</f>
        <v>9070.7099999999991</v>
      </c>
      <c r="L7" s="339">
        <f>Assumption!L5</f>
        <v>9609.8811362369797</v>
      </c>
      <c r="M7" s="339">
        <f>Assumption!M5</f>
        <v>10181.10108829445</v>
      </c>
      <c r="N7" s="339">
        <f>Assumption!N5</f>
        <v>10786.274866523418</v>
      </c>
      <c r="O7" s="339">
        <f>Assumption!O5</f>
        <v>11427.420716798402</v>
      </c>
      <c r="P7" s="339">
        <f>Assumption!P5</f>
        <v>12106.6768513385</v>
      </c>
    </row>
    <row r="8" spans="1:16" ht="14.25" customHeight="1">
      <c r="A8" s="92" t="s">
        <v>163</v>
      </c>
      <c r="B8" s="337">
        <f>PL!K6</f>
        <v>194.36</v>
      </c>
      <c r="C8" s="337">
        <f>PL!J6</f>
        <v>274.64</v>
      </c>
      <c r="D8" s="337">
        <f>PL!I6</f>
        <v>283.23</v>
      </c>
      <c r="E8" s="337">
        <f>PL!H6</f>
        <v>274.74</v>
      </c>
      <c r="F8" s="337">
        <f>PL!G6</f>
        <v>276.89999999999998</v>
      </c>
      <c r="G8" s="337">
        <f>PL!F6</f>
        <v>276.64999999999998</v>
      </c>
      <c r="H8" s="337">
        <f>PL!E6</f>
        <v>341.55</v>
      </c>
      <c r="I8" s="337">
        <f>PL!D6</f>
        <v>392.17</v>
      </c>
      <c r="J8" s="337">
        <f>PL!C6</f>
        <v>417.62</v>
      </c>
      <c r="K8" s="337">
        <f>PL!B6</f>
        <v>451.94</v>
      </c>
      <c r="L8" s="339"/>
      <c r="M8" s="339"/>
      <c r="N8" s="339"/>
      <c r="O8" s="339"/>
      <c r="P8" s="339"/>
    </row>
    <row r="9" spans="1:16" ht="14.25" customHeight="1">
      <c r="A9" s="93" t="s">
        <v>164</v>
      </c>
      <c r="B9" s="338">
        <f>PL!K8</f>
        <v>5558.17</v>
      </c>
      <c r="C9" s="338">
        <f>PL!J8</f>
        <v>5573.48</v>
      </c>
      <c r="D9" s="338">
        <f>PL!I8</f>
        <v>5949.55</v>
      </c>
      <c r="E9" s="338">
        <f>PL!H8</f>
        <v>6537.84</v>
      </c>
      <c r="F9" s="338">
        <f>PL!G8</f>
        <v>6656.59</v>
      </c>
      <c r="G9" s="338">
        <f>PL!F8</f>
        <v>7638.09</v>
      </c>
      <c r="H9" s="338">
        <f>PL!E8</f>
        <v>8549.5400000000009</v>
      </c>
      <c r="I9" s="338">
        <f>PL!D8</f>
        <v>9101.5</v>
      </c>
      <c r="J9" s="338">
        <f>PL!C8</f>
        <v>9504.0400000000009</v>
      </c>
      <c r="K9" s="338">
        <f>PL!B8</f>
        <v>9509.75</v>
      </c>
      <c r="L9" s="340">
        <f>Assumption!L8</f>
        <v>9596.2143486693622</v>
      </c>
      <c r="M9" s="340">
        <f>Assumption!M8</f>
        <v>10166.621934618606</v>
      </c>
      <c r="N9" s="340">
        <f>Assumption!N8</f>
        <v>10770.935058969415</v>
      </c>
      <c r="O9" s="340">
        <f>Assumption!O8</f>
        <v>11411.169097327964</v>
      </c>
      <c r="P9" s="340">
        <f>Assumption!P8</f>
        <v>12089.459221033676</v>
      </c>
    </row>
    <row r="10" spans="1:16"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9"/>
      <c r="M10" s="339"/>
      <c r="N10" s="339"/>
      <c r="O10" s="339"/>
      <c r="P10" s="339"/>
    </row>
    <row r="11" spans="1:16" ht="14.25" customHeight="1">
      <c r="A11" s="92" t="s">
        <v>165</v>
      </c>
      <c r="B11" s="338">
        <f>PL!K10</f>
        <v>2150.59</v>
      </c>
      <c r="C11" s="338">
        <f>PL!J10</f>
        <v>2129.17</v>
      </c>
      <c r="D11" s="338">
        <f>PL!I10</f>
        <v>2281.2199999999998</v>
      </c>
      <c r="E11" s="338">
        <f>PL!H10</f>
        <v>2511.23</v>
      </c>
      <c r="F11" s="338">
        <f>PL!G10</f>
        <v>2531.1799999999998</v>
      </c>
      <c r="G11" s="338">
        <f>PL!F10</f>
        <v>3065.28</v>
      </c>
      <c r="H11" s="338">
        <f>PL!E10</f>
        <v>3444.55</v>
      </c>
      <c r="I11" s="338">
        <f>PL!D10</f>
        <v>3797.74</v>
      </c>
      <c r="J11" s="338">
        <f>PL!C10</f>
        <v>3797.27</v>
      </c>
      <c r="K11" s="338">
        <f>PL!B10</f>
        <v>3896.24</v>
      </c>
      <c r="L11" s="339">
        <f>Assumption!L10</f>
        <v>4154.8900051456894</v>
      </c>
      <c r="M11" s="339">
        <f>Assumption!M10</f>
        <v>4430.7103655985129</v>
      </c>
      <c r="N11" s="339">
        <f>Assumption!N10</f>
        <v>4724.8409270785851</v>
      </c>
      <c r="O11" s="339">
        <f>Assumption!O10</f>
        <v>5038.4972034120356</v>
      </c>
      <c r="P11" s="339">
        <f>Assumption!P10</f>
        <v>5372.9753997215721</v>
      </c>
    </row>
    <row r="12" spans="1:16" ht="14.25" customHeight="1">
      <c r="A12" s="92" t="s">
        <v>166</v>
      </c>
      <c r="B12" s="337">
        <f>PL!K7</f>
        <v>23.77</v>
      </c>
      <c r="C12" s="337">
        <f>PL!J7</f>
        <v>8.19</v>
      </c>
      <c r="D12" s="337">
        <f>PL!I7</f>
        <v>74.03</v>
      </c>
      <c r="E12" s="337">
        <f>PL!H7</f>
        <v>-10.09</v>
      </c>
      <c r="F12" s="337">
        <f>PL!G7</f>
        <v>69.89</v>
      </c>
      <c r="G12" s="337">
        <f>PL!F7</f>
        <v>176.71</v>
      </c>
      <c r="H12" s="337">
        <f>PL!E7</f>
        <v>28.49</v>
      </c>
      <c r="I12" s="337">
        <f>PL!D7</f>
        <v>24.98</v>
      </c>
      <c r="J12" s="337">
        <f>PL!C7</f>
        <v>-49.18</v>
      </c>
      <c r="K12" s="337">
        <f>PL!B7</f>
        <v>-12.9</v>
      </c>
      <c r="L12" s="339"/>
      <c r="M12" s="339"/>
      <c r="N12" s="339"/>
      <c r="O12" s="339"/>
      <c r="P12" s="339"/>
    </row>
    <row r="13" spans="1:16" ht="14.25" customHeight="1">
      <c r="A13" s="92" t="s">
        <v>167</v>
      </c>
      <c r="B13" s="337">
        <f>PL!K11</f>
        <v>47.77</v>
      </c>
      <c r="C13" s="337">
        <f>PL!J11</f>
        <v>50.61</v>
      </c>
      <c r="D13" s="337">
        <f>PL!I11</f>
        <v>59.43</v>
      </c>
      <c r="E13" s="337">
        <f>PL!H11</f>
        <v>63.99</v>
      </c>
      <c r="F13" s="337">
        <f>PL!G11</f>
        <v>66.48</v>
      </c>
      <c r="G13" s="337">
        <f>PL!F11</f>
        <v>70.72</v>
      </c>
      <c r="H13" s="337">
        <f>PL!E11</f>
        <v>85.02</v>
      </c>
      <c r="I13" s="337">
        <f>PL!D11</f>
        <v>93.32</v>
      </c>
      <c r="J13" s="337">
        <f>PL!C11</f>
        <v>99.23</v>
      </c>
      <c r="K13" s="337">
        <f>PL!B11</f>
        <v>97.85</v>
      </c>
      <c r="L13" s="339">
        <f>Assumption!L11</f>
        <v>104.34572485357826</v>
      </c>
      <c r="M13" s="339">
        <f>Assumption!M11</f>
        <v>111.27266525517281</v>
      </c>
      <c r="N13" s="339">
        <f>Assumption!N11</f>
        <v>118.65944724006724</v>
      </c>
      <c r="O13" s="339">
        <f>Assumption!O11</f>
        <v>126.53659716903161</v>
      </c>
      <c r="P13" s="339">
        <f>Assumption!P11</f>
        <v>134.93666788050936</v>
      </c>
    </row>
    <row r="14" spans="1:16" ht="14.25" customHeight="1">
      <c r="A14" s="92" t="s">
        <v>168</v>
      </c>
      <c r="B14" s="337">
        <f t="shared" ref="B14:P14" si="0">B11+B12+B13</f>
        <v>2222.13</v>
      </c>
      <c r="C14" s="337">
        <f t="shared" si="0"/>
        <v>2187.9700000000003</v>
      </c>
      <c r="D14" s="337">
        <f t="shared" si="0"/>
        <v>2414.6799999999998</v>
      </c>
      <c r="E14" s="337">
        <f t="shared" si="0"/>
        <v>2565.1299999999997</v>
      </c>
      <c r="F14" s="337">
        <f t="shared" si="0"/>
        <v>2667.5499999999997</v>
      </c>
      <c r="G14" s="337">
        <f t="shared" si="0"/>
        <v>3312.71</v>
      </c>
      <c r="H14" s="337">
        <f t="shared" si="0"/>
        <v>3558.06</v>
      </c>
      <c r="I14" s="337">
        <f t="shared" si="0"/>
        <v>3916.04</v>
      </c>
      <c r="J14" s="337">
        <f t="shared" si="0"/>
        <v>3847.32</v>
      </c>
      <c r="K14" s="337">
        <f t="shared" si="0"/>
        <v>3981.1899999999996</v>
      </c>
      <c r="L14" s="339">
        <f t="shared" si="0"/>
        <v>4259.2357299992673</v>
      </c>
      <c r="M14" s="339">
        <f t="shared" si="0"/>
        <v>4541.9830308536857</v>
      </c>
      <c r="N14" s="339">
        <f t="shared" si="0"/>
        <v>4843.5003743186526</v>
      </c>
      <c r="O14" s="339">
        <f t="shared" si="0"/>
        <v>5165.0338005810672</v>
      </c>
      <c r="P14" s="339">
        <f t="shared" si="0"/>
        <v>5507.9120676020812</v>
      </c>
    </row>
    <row r="15" spans="1:16" ht="14.25" customHeight="1">
      <c r="A15" s="93" t="s">
        <v>169</v>
      </c>
      <c r="B15" s="337">
        <f t="shared" ref="B15:P15" si="1">B9-B14</f>
        <v>3336.04</v>
      </c>
      <c r="C15" s="337">
        <f t="shared" si="1"/>
        <v>3385.5099999999993</v>
      </c>
      <c r="D15" s="337">
        <f t="shared" si="1"/>
        <v>3534.8700000000003</v>
      </c>
      <c r="E15" s="337">
        <f t="shared" si="1"/>
        <v>3972.7100000000005</v>
      </c>
      <c r="F15" s="337">
        <f t="shared" si="1"/>
        <v>3989.0400000000004</v>
      </c>
      <c r="G15" s="337">
        <f t="shared" si="1"/>
        <v>4325.38</v>
      </c>
      <c r="H15" s="337">
        <f t="shared" si="1"/>
        <v>4991.4800000000014</v>
      </c>
      <c r="I15" s="337">
        <f t="shared" si="1"/>
        <v>5185.46</v>
      </c>
      <c r="J15" s="337">
        <f t="shared" si="1"/>
        <v>5656.7200000000012</v>
      </c>
      <c r="K15" s="337">
        <f t="shared" si="1"/>
        <v>5528.56</v>
      </c>
      <c r="L15" s="339">
        <f t="shared" si="1"/>
        <v>5336.9786186700949</v>
      </c>
      <c r="M15" s="339">
        <f t="shared" si="1"/>
        <v>5624.6389037649205</v>
      </c>
      <c r="N15" s="339">
        <f t="shared" si="1"/>
        <v>5927.4346846507624</v>
      </c>
      <c r="O15" s="339">
        <f t="shared" si="1"/>
        <v>6246.1352967468965</v>
      </c>
      <c r="P15" s="339">
        <f t="shared" si="1"/>
        <v>6581.5471534315948</v>
      </c>
    </row>
    <row r="16" spans="1:16" ht="14.25" customHeight="1">
      <c r="A16" s="92"/>
      <c r="B16" s="337"/>
      <c r="C16" s="337"/>
      <c r="D16" s="337"/>
      <c r="E16" s="337"/>
      <c r="F16" s="337"/>
      <c r="G16" s="337"/>
      <c r="H16" s="337"/>
      <c r="I16" s="337"/>
      <c r="J16" s="337"/>
      <c r="K16" s="337"/>
      <c r="L16" s="339"/>
      <c r="M16" s="339"/>
      <c r="N16" s="339"/>
      <c r="O16" s="339"/>
      <c r="P16" s="339"/>
    </row>
    <row r="17" spans="1:16" ht="14.25" customHeight="1">
      <c r="A17" s="92" t="s">
        <v>170</v>
      </c>
      <c r="B17" s="337">
        <f>PL!K12</f>
        <v>431.89</v>
      </c>
      <c r="C17" s="337">
        <f>PL!J12</f>
        <v>425.3</v>
      </c>
      <c r="D17" s="337">
        <f>PL!I12</f>
        <v>461.13</v>
      </c>
      <c r="E17" s="337">
        <f>PL!H12</f>
        <v>572.33000000000004</v>
      </c>
      <c r="F17" s="337">
        <f>PL!G12</f>
        <v>578.26</v>
      </c>
      <c r="G17" s="337">
        <f>PL!F12</f>
        <v>655.82</v>
      </c>
      <c r="H17" s="337">
        <f>PL!E12</f>
        <v>678.71</v>
      </c>
      <c r="I17" s="337">
        <f>PL!D12</f>
        <v>725.96</v>
      </c>
      <c r="J17" s="337">
        <f>PL!C12</f>
        <v>782.14</v>
      </c>
      <c r="K17" s="337">
        <f>PL!B12</f>
        <v>776.86</v>
      </c>
      <c r="L17" s="339">
        <f>Assumption!L12</f>
        <v>828.43147480583355</v>
      </c>
      <c r="M17" s="339">
        <f>Assumption!M12</f>
        <v>883.42649698654634</v>
      </c>
      <c r="N17" s="339">
        <f>Assumption!N12</f>
        <v>942.07233707632759</v>
      </c>
      <c r="O17" s="339">
        <f>Assumption!O12</f>
        <v>1004.6113528536936</v>
      </c>
      <c r="P17" s="339">
        <f>Assumption!P12</f>
        <v>1071.3019909008947</v>
      </c>
    </row>
    <row r="18" spans="1:16" ht="14.25" customHeight="1">
      <c r="A18" s="92" t="s">
        <v>171</v>
      </c>
      <c r="B18" s="337">
        <f>PL!K13+PL!K14+PL!K15</f>
        <v>1635.48</v>
      </c>
      <c r="C18" s="337">
        <f>PL!J13+PL!J14+PL!J15</f>
        <v>1582.39</v>
      </c>
      <c r="D18" s="337">
        <f>PL!I13+PL!I14+PL!I15</f>
        <v>1650.25</v>
      </c>
      <c r="E18" s="337">
        <f>PL!H13+PL!H14+PL!H15</f>
        <v>1748.31</v>
      </c>
      <c r="F18" s="337">
        <f>PL!G13+PL!G14+PL!G15</f>
        <v>1923</v>
      </c>
      <c r="G18" s="337">
        <f>PL!F13+PL!F14+PL!F15</f>
        <v>2010.42</v>
      </c>
      <c r="H18" s="337">
        <f>PL!E13+PL!E14+PL!E15</f>
        <v>2265.89</v>
      </c>
      <c r="I18" s="337">
        <f>PL!D13+PL!D14+PL!D15</f>
        <v>2421.1499999999996</v>
      </c>
      <c r="J18" s="337">
        <f>PL!C13+PL!C14+PL!C15</f>
        <v>2568.6999999999998</v>
      </c>
      <c r="K18" s="337">
        <f>PL!B13+PL!B14+PL!B15</f>
        <v>2579.9500000000003</v>
      </c>
      <c r="L18" s="339">
        <f>Assumption!L13+Assumption!L14</f>
        <v>2593.8736957980968</v>
      </c>
      <c r="M18" s="339">
        <f>Assumption!M13+Assumption!M14</f>
        <v>2766.0667446773878</v>
      </c>
      <c r="N18" s="339">
        <f>Assumption!N13+Assumption!N14</f>
        <v>2949.6907456999447</v>
      </c>
      <c r="O18" s="339">
        <f>Assumption!O13+Assumption!O14</f>
        <v>3145.5045370868934</v>
      </c>
      <c r="P18" s="339">
        <f>Assumption!P13+Assumption!P14</f>
        <v>3354.3173321671029</v>
      </c>
    </row>
    <row r="19" spans="1:16" ht="14.25" customHeight="1">
      <c r="A19" s="93" t="s">
        <v>172</v>
      </c>
      <c r="B19" s="337">
        <f t="shared" ref="B19:P19" si="2">B15-B17-B18</f>
        <v>1268.67</v>
      </c>
      <c r="C19" s="337">
        <f t="shared" si="2"/>
        <v>1377.819999999999</v>
      </c>
      <c r="D19" s="337">
        <f t="shared" si="2"/>
        <v>1423.4900000000002</v>
      </c>
      <c r="E19" s="337">
        <f t="shared" si="2"/>
        <v>1652.0700000000006</v>
      </c>
      <c r="F19" s="337">
        <f t="shared" si="2"/>
        <v>1487.7800000000007</v>
      </c>
      <c r="G19" s="337">
        <f t="shared" si="2"/>
        <v>1659.1399999999999</v>
      </c>
      <c r="H19" s="337">
        <f t="shared" si="2"/>
        <v>2046.8800000000015</v>
      </c>
      <c r="I19" s="337">
        <f t="shared" si="2"/>
        <v>2038.3500000000004</v>
      </c>
      <c r="J19" s="337">
        <f t="shared" si="2"/>
        <v>2305.880000000001</v>
      </c>
      <c r="K19" s="337">
        <f t="shared" si="2"/>
        <v>2171.7500000000005</v>
      </c>
      <c r="L19" s="339">
        <f t="shared" si="2"/>
        <v>1914.6734480661648</v>
      </c>
      <c r="M19" s="339">
        <f t="shared" si="2"/>
        <v>1975.1456621009866</v>
      </c>
      <c r="N19" s="339">
        <f t="shared" si="2"/>
        <v>2035.6716018744905</v>
      </c>
      <c r="O19" s="339">
        <f t="shared" si="2"/>
        <v>2096.0194068063097</v>
      </c>
      <c r="P19" s="339">
        <f t="shared" si="2"/>
        <v>2155.9278303635974</v>
      </c>
    </row>
    <row r="20" spans="1:16" ht="14.25" customHeight="1">
      <c r="A20" s="92"/>
      <c r="B20" s="337"/>
      <c r="C20" s="337"/>
      <c r="D20" s="337"/>
      <c r="E20" s="337"/>
      <c r="F20" s="337"/>
      <c r="G20" s="337"/>
      <c r="H20" s="337"/>
      <c r="I20" s="337"/>
      <c r="J20" s="337"/>
      <c r="K20" s="337"/>
      <c r="L20" s="339"/>
      <c r="M20" s="339"/>
      <c r="N20" s="339"/>
      <c r="O20" s="339"/>
      <c r="P20" s="339"/>
    </row>
    <row r="21" spans="1:16" ht="14.25" customHeight="1">
      <c r="A21" s="92" t="s">
        <v>173</v>
      </c>
      <c r="B21" s="337">
        <f>PL!K21</f>
        <v>72.83</v>
      </c>
      <c r="C21" s="337">
        <f>PL!J21</f>
        <v>75.430000000000007</v>
      </c>
      <c r="D21" s="337">
        <f>PL!I21</f>
        <v>102.5</v>
      </c>
      <c r="E21" s="337">
        <f>PL!H21</f>
        <v>108.83</v>
      </c>
      <c r="F21" s="337">
        <f>PL!G21</f>
        <v>129.93</v>
      </c>
      <c r="G21" s="337">
        <f>PL!F21</f>
        <v>143.4</v>
      </c>
      <c r="H21" s="337">
        <f>PL!E21</f>
        <v>160.38999999999999</v>
      </c>
      <c r="I21" s="337">
        <f>PL!D21</f>
        <v>188.29</v>
      </c>
      <c r="J21" s="337">
        <f>PL!C21</f>
        <v>208.86</v>
      </c>
      <c r="K21" s="337">
        <f>PL!B21</f>
        <v>250.93</v>
      </c>
      <c r="L21" s="339">
        <f>Assumption!L23</f>
        <v>288.76430426000104</v>
      </c>
      <c r="M21" s="339">
        <f>Assumption!M23</f>
        <v>332.30312603021736</v>
      </c>
      <c r="N21" s="339">
        <f>Assumption!N23</f>
        <v>382.40657152010181</v>
      </c>
      <c r="O21" s="339">
        <f>Assumption!O23</f>
        <v>440.06443059600093</v>
      </c>
      <c r="P21" s="339">
        <f>Assumption!P23</f>
        <v>506.41573000688521</v>
      </c>
    </row>
    <row r="22" spans="1:16" ht="14.25" customHeight="1">
      <c r="A22" s="93" t="s">
        <v>174</v>
      </c>
      <c r="B22" s="337">
        <f t="shared" ref="B22:P22" si="3">B19-B21</f>
        <v>1195.8400000000001</v>
      </c>
      <c r="C22" s="337">
        <f t="shared" si="3"/>
        <v>1302.389999999999</v>
      </c>
      <c r="D22" s="337">
        <f t="shared" si="3"/>
        <v>1320.9900000000002</v>
      </c>
      <c r="E22" s="337">
        <f t="shared" si="3"/>
        <v>1543.2400000000007</v>
      </c>
      <c r="F22" s="337">
        <f t="shared" si="3"/>
        <v>1357.8500000000006</v>
      </c>
      <c r="G22" s="337">
        <f t="shared" si="3"/>
        <v>1515.7399999999998</v>
      </c>
      <c r="H22" s="337">
        <f t="shared" si="3"/>
        <v>1886.4900000000016</v>
      </c>
      <c r="I22" s="337">
        <f t="shared" si="3"/>
        <v>1850.0600000000004</v>
      </c>
      <c r="J22" s="337">
        <f t="shared" si="3"/>
        <v>2097.0200000000009</v>
      </c>
      <c r="K22" s="337">
        <f t="shared" si="3"/>
        <v>1920.8200000000004</v>
      </c>
      <c r="L22" s="339">
        <f t="shared" si="3"/>
        <v>1625.9091438061637</v>
      </c>
      <c r="M22" s="339">
        <f t="shared" si="3"/>
        <v>1642.8425360707693</v>
      </c>
      <c r="N22" s="339">
        <f t="shared" si="3"/>
        <v>1653.2650303543887</v>
      </c>
      <c r="O22" s="339">
        <f t="shared" si="3"/>
        <v>1655.9549762103088</v>
      </c>
      <c r="P22" s="339">
        <f t="shared" si="3"/>
        <v>1649.5121003567122</v>
      </c>
    </row>
    <row r="23" spans="1:16" ht="14.25" customHeight="1">
      <c r="A23" s="92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9"/>
      <c r="M23" s="339"/>
      <c r="N23" s="339"/>
      <c r="O23" s="339"/>
      <c r="P23" s="339"/>
    </row>
    <row r="24" spans="1:16" ht="14.25" customHeight="1">
      <c r="A24" s="92" t="s">
        <v>175</v>
      </c>
      <c r="B24" s="337">
        <f>PL!K19</f>
        <v>10.26</v>
      </c>
      <c r="C24" s="337">
        <f>PL!J19</f>
        <v>16.23</v>
      </c>
      <c r="D24" s="337">
        <f>PL!I19</f>
        <v>21.89</v>
      </c>
      <c r="E24" s="337">
        <f>PL!H19</f>
        <v>29.8</v>
      </c>
      <c r="F24" s="337">
        <f>PL!G19</f>
        <v>19.27</v>
      </c>
      <c r="G24" s="337">
        <f>PL!F19</f>
        <v>9.14</v>
      </c>
      <c r="H24" s="337">
        <f>PL!E19</f>
        <v>18.670000000000002</v>
      </c>
      <c r="I24" s="337">
        <f>PL!D19</f>
        <v>46.37</v>
      </c>
      <c r="J24" s="337">
        <f>PL!C19</f>
        <v>81.14</v>
      </c>
      <c r="K24" s="337">
        <f>PL!B19</f>
        <v>99.58</v>
      </c>
      <c r="L24" s="339">
        <f>Assumption!L19</f>
        <v>142.91223879401483</v>
      </c>
      <c r="M24" s="339">
        <f>Assumption!M19</f>
        <v>205.1005020799108</v>
      </c>
      <c r="N24" s="339">
        <f>Assumption!N19</f>
        <v>294.34998925503663</v>
      </c>
      <c r="O24" s="339">
        <f>Assumption!O19</f>
        <v>422.43639238232072</v>
      </c>
      <c r="P24" s="339">
        <f>Assumption!P19</f>
        <v>606.25959613802343</v>
      </c>
    </row>
    <row r="25" spans="1:16" ht="14.25" customHeight="1">
      <c r="A25" s="93" t="s">
        <v>176</v>
      </c>
      <c r="B25" s="337">
        <f t="shared" ref="B25:P25" si="4">B22-B24</f>
        <v>1185.5800000000002</v>
      </c>
      <c r="C25" s="337">
        <f t="shared" si="4"/>
        <v>1286.1599999999989</v>
      </c>
      <c r="D25" s="337">
        <f t="shared" si="4"/>
        <v>1299.1000000000001</v>
      </c>
      <c r="E25" s="337">
        <f t="shared" si="4"/>
        <v>1513.4400000000007</v>
      </c>
      <c r="F25" s="337">
        <f t="shared" si="4"/>
        <v>1338.5800000000006</v>
      </c>
      <c r="G25" s="337">
        <f t="shared" si="4"/>
        <v>1506.5999999999997</v>
      </c>
      <c r="H25" s="337">
        <f t="shared" si="4"/>
        <v>1867.8200000000015</v>
      </c>
      <c r="I25" s="337">
        <f t="shared" si="4"/>
        <v>1803.6900000000005</v>
      </c>
      <c r="J25" s="337">
        <f t="shared" si="4"/>
        <v>2015.8800000000008</v>
      </c>
      <c r="K25" s="337">
        <f t="shared" si="4"/>
        <v>1821.2400000000005</v>
      </c>
      <c r="L25" s="339">
        <f t="shared" si="4"/>
        <v>1482.9969050121488</v>
      </c>
      <c r="M25" s="339">
        <f t="shared" si="4"/>
        <v>1437.7420339908585</v>
      </c>
      <c r="N25" s="339">
        <f t="shared" si="4"/>
        <v>1358.915041099352</v>
      </c>
      <c r="O25" s="339">
        <f t="shared" si="4"/>
        <v>1233.5185838279881</v>
      </c>
      <c r="P25" s="339">
        <f t="shared" si="4"/>
        <v>1043.2525042186887</v>
      </c>
    </row>
    <row r="26" spans="1:16" ht="14.25" customHeight="1">
      <c r="A26" s="92" t="s">
        <v>133</v>
      </c>
      <c r="B26" s="337">
        <f>Assumption!B27</f>
        <v>0.21425559184685991</v>
      </c>
      <c r="C26" s="337">
        <f>Assumption!C27</f>
        <v>0.24014370147178121</v>
      </c>
      <c r="D26" s="337">
        <f>Assumption!D27</f>
        <v>0.2478498030048138</v>
      </c>
      <c r="E26" s="337">
        <f>Assumption!E27</f>
        <v>0.24563807496590948</v>
      </c>
      <c r="F26" s="337">
        <f>Assumption!F27</f>
        <v>0.30202986219088795</v>
      </c>
      <c r="G26" s="337">
        <f>Assumption!G27</f>
        <v>0.17807177525233023</v>
      </c>
      <c r="H26" s="337">
        <f>Assumption!H27</f>
        <v>0.19984601673776969</v>
      </c>
      <c r="I26" s="337">
        <f>Assumption!I27</f>
        <v>0.23178594278902154</v>
      </c>
      <c r="J26" s="337">
        <f>Assumption!J27</f>
        <v>0.2256571922509788</v>
      </c>
      <c r="K26" s="337">
        <f>Assumption!K27</f>
        <v>0.21739274693918181</v>
      </c>
      <c r="L26" s="339">
        <f>Assumption!L27</f>
        <v>0</v>
      </c>
      <c r="M26" s="339">
        <f>Assumption!M27</f>
        <v>0</v>
      </c>
      <c r="N26" s="339">
        <f>Assumption!N27</f>
        <v>0</v>
      </c>
      <c r="O26" s="339">
        <f>Assumption!O27</f>
        <v>0</v>
      </c>
      <c r="P26" s="339">
        <f>Assumption!P27</f>
        <v>0</v>
      </c>
    </row>
    <row r="27" spans="1:16" ht="14.25" customHeight="1">
      <c r="A27" s="92" t="s">
        <v>177</v>
      </c>
      <c r="B27" s="337">
        <f>PL!K23</f>
        <v>259.11</v>
      </c>
      <c r="C27" s="337">
        <f>PL!J23</f>
        <v>310.83</v>
      </c>
      <c r="D27" s="337">
        <f>PL!I23</f>
        <v>340.33</v>
      </c>
      <c r="E27" s="337">
        <f>PL!H23</f>
        <v>369.28</v>
      </c>
      <c r="F27" s="337">
        <f>PL!G23</f>
        <v>425.4</v>
      </c>
      <c r="G27" s="337">
        <f>PL!F23</f>
        <v>299.75</v>
      </c>
      <c r="H27" s="337">
        <f>PL!E23</f>
        <v>378.97</v>
      </c>
      <c r="I27" s="337">
        <f>PL!D23</f>
        <v>423.86</v>
      </c>
      <c r="J27" s="337">
        <f>PL!C23</f>
        <v>443.8</v>
      </c>
      <c r="K27" s="337">
        <f>PL!B23</f>
        <v>393.12</v>
      </c>
      <c r="L27" s="339">
        <f>L25*L26</f>
        <v>0</v>
      </c>
      <c r="M27" s="339">
        <f>M25*M26</f>
        <v>0</v>
      </c>
      <c r="N27" s="339">
        <f>N25*N26</f>
        <v>0</v>
      </c>
      <c r="O27" s="339">
        <f>O25*O26</f>
        <v>0</v>
      </c>
      <c r="P27" s="339">
        <f>P25*P26</f>
        <v>0</v>
      </c>
    </row>
    <row r="28" spans="1:16" ht="14.25" customHeight="1">
      <c r="A28" s="92" t="s">
        <v>178</v>
      </c>
      <c r="B28" s="337">
        <f>PL!K25</f>
        <v>12.98</v>
      </c>
      <c r="C28" s="337">
        <f>PL!J25</f>
        <v>-14.81</v>
      </c>
      <c r="D28" s="337">
        <f>PL!I25</f>
        <v>-39.25</v>
      </c>
      <c r="E28" s="337">
        <f>PL!H25</f>
        <v>-130.22</v>
      </c>
      <c r="F28" s="337">
        <f>PL!G25</f>
        <v>-187.28</v>
      </c>
      <c r="G28" s="337">
        <f>PL!F25</f>
        <v>1.67</v>
      </c>
      <c r="H28" s="337">
        <f>PL!E25</f>
        <v>84.41</v>
      </c>
      <c r="I28" s="337">
        <f>PL!D25</f>
        <v>31.55</v>
      </c>
      <c r="J28" s="337">
        <f>PL!C25</f>
        <v>13.69</v>
      </c>
      <c r="K28" s="337">
        <f>PL!B25</f>
        <v>12</v>
      </c>
      <c r="L28" s="339">
        <f>Assumption!L28</f>
        <v>77.980492425988245</v>
      </c>
      <c r="M28" s="339">
        <f>Assumption!M28</f>
        <v>506.74643324996748</v>
      </c>
      <c r="N28" s="339">
        <f>Assumption!N28</f>
        <v>3293.0280333288038</v>
      </c>
      <c r="O28" s="339">
        <f>Assumption!O28</f>
        <v>21399.32896763031</v>
      </c>
      <c r="P28" s="339">
        <f>Assumption!P28</f>
        <v>139060.8508734605</v>
      </c>
    </row>
    <row r="29" spans="1:16" ht="15" customHeight="1">
      <c r="A29" s="94" t="s">
        <v>179</v>
      </c>
      <c r="B29" s="337">
        <f t="shared" ref="B29:P29" si="5">B25-B27-B28</f>
        <v>913.49000000000012</v>
      </c>
      <c r="C29" s="337">
        <f t="shared" si="5"/>
        <v>990.13999999999896</v>
      </c>
      <c r="D29" s="337">
        <f t="shared" si="5"/>
        <v>998.02000000000021</v>
      </c>
      <c r="E29" s="337">
        <f t="shared" si="5"/>
        <v>1274.3800000000008</v>
      </c>
      <c r="F29" s="337">
        <f t="shared" si="5"/>
        <v>1100.4600000000007</v>
      </c>
      <c r="G29" s="337">
        <f t="shared" si="5"/>
        <v>1205.1799999999996</v>
      </c>
      <c r="H29" s="337">
        <f t="shared" si="5"/>
        <v>1404.4400000000014</v>
      </c>
      <c r="I29" s="337">
        <f t="shared" si="5"/>
        <v>1348.2800000000004</v>
      </c>
      <c r="J29" s="337">
        <f t="shared" si="5"/>
        <v>1558.3900000000008</v>
      </c>
      <c r="K29" s="337">
        <f t="shared" si="5"/>
        <v>1416.1200000000003</v>
      </c>
      <c r="L29" s="339">
        <f t="shared" si="5"/>
        <v>1405.0164125861606</v>
      </c>
      <c r="M29" s="339">
        <f t="shared" si="5"/>
        <v>930.99560074089106</v>
      </c>
      <c r="N29" s="339">
        <f t="shared" si="5"/>
        <v>-1934.1129922294517</v>
      </c>
      <c r="O29" s="339">
        <f t="shared" si="5"/>
        <v>-20165.810383802323</v>
      </c>
      <c r="P29" s="339">
        <f t="shared" si="5"/>
        <v>-138017.59836924181</v>
      </c>
    </row>
    <row r="30" spans="1:16" ht="15" customHeight="1">
      <c r="A30" s="92" t="s">
        <v>180</v>
      </c>
      <c r="B30" s="337">
        <f>PL!K38</f>
        <v>5.33</v>
      </c>
      <c r="C30" s="337">
        <f>PL!J38</f>
        <v>5.67</v>
      </c>
      <c r="D30" s="337">
        <f>PL!I38</f>
        <v>6.09</v>
      </c>
      <c r="E30" s="337">
        <f>PL!H38</f>
        <v>7.16</v>
      </c>
      <c r="F30" s="337">
        <f>PL!G38</f>
        <v>6.62</v>
      </c>
      <c r="G30" s="337">
        <f>PL!F38</f>
        <v>7.82</v>
      </c>
      <c r="H30" s="337">
        <f>PL!E38</f>
        <v>8.11</v>
      </c>
      <c r="I30" s="337">
        <f>PL!D38</f>
        <v>7.75</v>
      </c>
      <c r="J30" s="337">
        <f>PL!C38</f>
        <v>8.52</v>
      </c>
      <c r="K30" s="337">
        <f>PL!B38</f>
        <v>7.92</v>
      </c>
      <c r="L30" s="339"/>
      <c r="M30" s="339"/>
      <c r="N30" s="339"/>
      <c r="O30" s="339"/>
      <c r="P30" s="339"/>
    </row>
    <row r="31" spans="1:16" ht="14.25" customHeight="1">
      <c r="A31" s="92" t="s">
        <v>121</v>
      </c>
      <c r="B31" s="337">
        <f>PL!K34</f>
        <v>423.2</v>
      </c>
      <c r="C31" s="337">
        <f>PL!J34</f>
        <v>220.19</v>
      </c>
      <c r="D31" s="337">
        <f>PL!I34</f>
        <v>220.19</v>
      </c>
      <c r="E31" s="337">
        <f>PL!H34</f>
        <v>220.79</v>
      </c>
      <c r="F31" s="337">
        <f>PL!G34</f>
        <v>247.39</v>
      </c>
      <c r="G31" s="337">
        <f>PL!F34</f>
        <v>309.3</v>
      </c>
      <c r="H31" s="337">
        <f>PL!E34</f>
        <v>0</v>
      </c>
      <c r="I31" s="337">
        <f>PL!D34</f>
        <v>0</v>
      </c>
      <c r="J31" s="337">
        <f>PL!C34</f>
        <v>0</v>
      </c>
      <c r="K31" s="337">
        <f>PL!B34</f>
        <v>0</v>
      </c>
      <c r="L31" s="339">
        <f>Assumption!L34</f>
        <v>0</v>
      </c>
      <c r="M31" s="339">
        <f>Assumption!M34</f>
        <v>0</v>
      </c>
      <c r="N31" s="339">
        <f>Assumption!N34</f>
        <v>0</v>
      </c>
      <c r="O31" s="339">
        <f>Assumption!O34</f>
        <v>0</v>
      </c>
      <c r="P31" s="339">
        <f>Assumption!P34</f>
        <v>0</v>
      </c>
    </row>
    <row r="32" spans="1:16" ht="14.25" customHeight="1">
      <c r="A32" s="95" t="s">
        <v>181</v>
      </c>
      <c r="B32" s="337">
        <f>PL!K36</f>
        <v>225</v>
      </c>
      <c r="C32" s="337">
        <f>PL!J36</f>
        <v>225</v>
      </c>
      <c r="D32" s="337">
        <f>PL!I36</f>
        <v>750</v>
      </c>
      <c r="E32" s="337">
        <f>PL!H36</f>
        <v>275</v>
      </c>
      <c r="F32" s="337">
        <f>PL!G36</f>
        <v>300</v>
      </c>
      <c r="G32" s="337">
        <f>PL!F36</f>
        <v>475</v>
      </c>
      <c r="H32" s="337">
        <f>PL!E36</f>
        <v>520</v>
      </c>
      <c r="I32" s="337">
        <f>PL!D36</f>
        <v>520</v>
      </c>
      <c r="J32" s="337">
        <f>PL!C36</f>
        <v>550</v>
      </c>
      <c r="K32" s="337">
        <f>PL!B36</f>
        <v>800</v>
      </c>
      <c r="L32" s="339"/>
      <c r="M32" s="339"/>
      <c r="N32" s="339"/>
      <c r="O32" s="339"/>
      <c r="P32" s="339"/>
    </row>
    <row r="33" spans="1:16" ht="14.25" customHeight="1">
      <c r="A33" s="96"/>
    </row>
    <row r="34" spans="1:16" ht="14.25" customHeight="1">
      <c r="A34" s="96"/>
    </row>
    <row r="35" spans="1:16" ht="14.25" customHeight="1">
      <c r="A35" s="330" t="s">
        <v>149</v>
      </c>
      <c r="B35" s="330"/>
      <c r="C35" s="330"/>
      <c r="D35" s="330"/>
      <c r="E35" s="330"/>
    </row>
    <row r="36" spans="1:16" ht="14.25" customHeight="1">
      <c r="A36" s="330"/>
      <c r="B36" s="330"/>
      <c r="C36" s="330"/>
      <c r="D36" s="330"/>
      <c r="E36" s="330"/>
    </row>
    <row r="37" spans="1:16" ht="14.25" customHeight="1">
      <c r="A37" s="97" t="s">
        <v>182</v>
      </c>
      <c r="B37" s="43">
        <v>2016</v>
      </c>
      <c r="C37" s="43">
        <v>2017</v>
      </c>
      <c r="D37" s="43">
        <v>2018</v>
      </c>
      <c r="E37" s="43">
        <v>2019</v>
      </c>
      <c r="F37" s="43">
        <v>2020</v>
      </c>
      <c r="G37" s="43">
        <v>2021</v>
      </c>
      <c r="H37" s="43">
        <v>2022</v>
      </c>
      <c r="I37" s="43">
        <v>2023</v>
      </c>
      <c r="J37" s="43">
        <v>2024</v>
      </c>
      <c r="K37" s="43">
        <v>2025</v>
      </c>
      <c r="L37" s="43">
        <v>2026</v>
      </c>
      <c r="M37" s="43">
        <v>2027</v>
      </c>
      <c r="N37" s="43">
        <v>2028</v>
      </c>
      <c r="O37" s="43">
        <v>2029</v>
      </c>
      <c r="P37" s="43">
        <v>2030</v>
      </c>
    </row>
    <row r="38" spans="1:16" ht="14.25" customHeight="1">
      <c r="A38" s="92" t="s">
        <v>183</v>
      </c>
      <c r="B38" s="331">
        <f>Bal.sheet!B4</f>
        <v>175.91</v>
      </c>
      <c r="C38" s="331">
        <f>Bal.sheet!C4</f>
        <v>176.15</v>
      </c>
      <c r="D38" s="331">
        <f>Bal.sheet!D4</f>
        <v>176.15</v>
      </c>
      <c r="E38" s="331">
        <f>Bal.sheet!E4</f>
        <v>176.63</v>
      </c>
      <c r="F38" s="331">
        <f>Bal.sheet!F4</f>
        <v>176.71</v>
      </c>
      <c r="G38" s="331">
        <f>Bal.sheet!G4</f>
        <v>176.74</v>
      </c>
      <c r="H38" s="331">
        <f>Bal.sheet!H4</f>
        <v>176.79</v>
      </c>
      <c r="I38" s="331">
        <f>Bal.sheet!I4</f>
        <v>177.18</v>
      </c>
      <c r="J38" s="331">
        <f>Bal.sheet!J4</f>
        <v>177.2</v>
      </c>
      <c r="K38" s="331">
        <f>Bal.sheet!K4</f>
        <v>177.23</v>
      </c>
      <c r="L38" s="333">
        <f>Assumption!L45</f>
        <v>177.2</v>
      </c>
      <c r="M38" s="333">
        <f>Assumption!M45</f>
        <v>177.2</v>
      </c>
      <c r="N38" s="333">
        <f>Assumption!N45</f>
        <v>177.2</v>
      </c>
      <c r="O38" s="333">
        <f>Assumption!O45</f>
        <v>177.2</v>
      </c>
      <c r="P38" s="333">
        <f>Assumption!P45</f>
        <v>177.2</v>
      </c>
    </row>
    <row r="39" spans="1:16" ht="14.25" customHeight="1">
      <c r="A39" s="92" t="s">
        <v>184</v>
      </c>
      <c r="B39" s="332">
        <f>Bal.sheet!B5</f>
        <v>2918.38</v>
      </c>
      <c r="C39" s="332">
        <f>Bal.sheet!C5</f>
        <v>3481.73</v>
      </c>
      <c r="D39" s="332">
        <f>Bal.sheet!D5</f>
        <v>4050.71</v>
      </c>
      <c r="E39" s="332">
        <f>Bal.sheet!E5</f>
        <v>3792.19</v>
      </c>
      <c r="F39" s="332">
        <f>Bal.sheet!F5</f>
        <v>4397.5200000000004</v>
      </c>
      <c r="G39" s="332">
        <f>Bal.sheet!G5</f>
        <v>5214.4799999999996</v>
      </c>
      <c r="H39" s="332">
        <f>Bal.sheet!H5</f>
        <v>5687.08</v>
      </c>
      <c r="I39" s="332">
        <f>Bal.sheet!I5</f>
        <v>6109.7</v>
      </c>
      <c r="J39" s="332">
        <f>Bal.sheet!J5</f>
        <v>6738.17</v>
      </c>
      <c r="K39" s="332">
        <f>Bal.sheet!K5</f>
        <v>7246.06</v>
      </c>
      <c r="L39" s="334">
        <f>Assumption!L46</f>
        <v>17170774.464609075</v>
      </c>
      <c r="M39" s="334">
        <f>Assumption!M46</f>
        <v>40689077335.058098</v>
      </c>
      <c r="N39" s="334">
        <f>Assumption!N46</f>
        <v>96419705342395.656</v>
      </c>
      <c r="O39" s="335">
        <f>Assumption!O46</f>
        <v>2.2848292925787789E+17</v>
      </c>
      <c r="P39" s="335">
        <f>Assumption!P46</f>
        <v>5.414292522143415E+20</v>
      </c>
    </row>
    <row r="40" spans="1:16" ht="14.25" customHeight="1">
      <c r="A40" s="92" t="s">
        <v>185</v>
      </c>
      <c r="B40" s="331"/>
      <c r="C40" s="331"/>
      <c r="D40" s="331"/>
      <c r="E40" s="331"/>
      <c r="F40" s="331"/>
      <c r="G40" s="331"/>
      <c r="H40" s="331"/>
      <c r="I40" s="331"/>
      <c r="J40" s="331"/>
      <c r="K40" s="331"/>
      <c r="L40" s="333"/>
      <c r="M40" s="333"/>
      <c r="N40" s="333"/>
      <c r="O40" s="333"/>
      <c r="P40" s="333"/>
    </row>
    <row r="41" spans="1:16" ht="14.25" customHeight="1">
      <c r="A41" s="93" t="s">
        <v>186</v>
      </c>
      <c r="B41" s="332">
        <f>Bal.sheet!B8</f>
        <v>3094.29</v>
      </c>
      <c r="C41" s="332">
        <f>Bal.sheet!C8</f>
        <v>3657.88</v>
      </c>
      <c r="D41" s="332">
        <f>Bal.sheet!D8</f>
        <v>4226.8599999999997</v>
      </c>
      <c r="E41" s="332">
        <f>Bal.sheet!E8</f>
        <v>3968.82</v>
      </c>
      <c r="F41" s="332">
        <f>Bal.sheet!F8</f>
        <v>4574.2299999999996</v>
      </c>
      <c r="G41" s="332">
        <f>Bal.sheet!G8</f>
        <v>5391.22</v>
      </c>
      <c r="H41" s="332">
        <f>Bal.sheet!H8</f>
        <v>5863.87</v>
      </c>
      <c r="I41" s="332">
        <f>Bal.sheet!I8</f>
        <v>6286.88</v>
      </c>
      <c r="J41" s="332">
        <f>Bal.sheet!J8</f>
        <v>6915.37</v>
      </c>
      <c r="K41" s="332">
        <f>Bal.sheet!K8</f>
        <v>7423.29</v>
      </c>
      <c r="L41" s="336">
        <f>Assumption!L47</f>
        <v>17170951.664609075</v>
      </c>
      <c r="M41" s="336">
        <f>Assumption!M47</f>
        <v>40689077512.258095</v>
      </c>
      <c r="N41" s="336">
        <f>Assumption!N47</f>
        <v>96419705342572.859</v>
      </c>
      <c r="O41" s="336">
        <f>Assumption!O47</f>
        <v>2.2848292925787808E+17</v>
      </c>
      <c r="P41" s="336">
        <f>Assumption!P47</f>
        <v>5.414292522143415E+20</v>
      </c>
    </row>
    <row r="42" spans="1:16" ht="14.25" customHeight="1">
      <c r="A42" s="92" t="s">
        <v>187</v>
      </c>
      <c r="B42" s="331"/>
      <c r="C42" s="331"/>
      <c r="D42" s="331"/>
      <c r="E42" s="331"/>
      <c r="F42" s="331"/>
      <c r="G42" s="331"/>
      <c r="H42" s="331"/>
      <c r="I42" s="331"/>
      <c r="J42" s="331"/>
      <c r="K42" s="331"/>
      <c r="L42" s="333"/>
      <c r="M42" s="333"/>
      <c r="N42" s="333"/>
      <c r="O42" s="333"/>
      <c r="P42" s="333"/>
    </row>
    <row r="43" spans="1:16" ht="14.25" customHeight="1">
      <c r="A43" s="92" t="s">
        <v>188</v>
      </c>
      <c r="B43" s="331">
        <f>Bal.sheet!B10</f>
        <v>79.55</v>
      </c>
      <c r="C43" s="331">
        <f>Bal.sheet!C10</f>
        <v>74.680000000000007</v>
      </c>
      <c r="D43" s="331">
        <f>Bal.sheet!D10</f>
        <v>78.010000000000005</v>
      </c>
      <c r="E43" s="331">
        <f>Bal.sheet!E10</f>
        <v>82.13</v>
      </c>
      <c r="F43" s="331">
        <f>Bal.sheet!F10</f>
        <v>49.46</v>
      </c>
      <c r="G43" s="331">
        <f>Bal.sheet!G10</f>
        <v>152.93</v>
      </c>
      <c r="H43" s="331">
        <f>Bal.sheet!H10</f>
        <v>560.17999999999995</v>
      </c>
      <c r="I43" s="331">
        <f>Bal.sheet!I10</f>
        <v>437.7</v>
      </c>
      <c r="J43" s="331">
        <f>Bal.sheet!J10</f>
        <v>675.97</v>
      </c>
      <c r="K43" s="331">
        <f>Bal.sheet!K10</f>
        <v>378.62</v>
      </c>
      <c r="L43" s="334">
        <f>Assumption!L48</f>
        <v>546.31211621124521</v>
      </c>
      <c r="M43" s="334">
        <f>Assumption!M48</f>
        <v>788.27565453280101</v>
      </c>
      <c r="N43" s="334">
        <f>Assumption!N48</f>
        <v>1137.4056864022477</v>
      </c>
      <c r="O43" s="334">
        <f>Assumption!O48</f>
        <v>1641.1666249250329</v>
      </c>
      <c r="P43" s="334">
        <f>Assumption!P48</f>
        <v>2368.0450370240919</v>
      </c>
    </row>
    <row r="44" spans="1:16" ht="14.25" customHeight="1">
      <c r="A44" s="92" t="s">
        <v>189</v>
      </c>
      <c r="B44" s="331">
        <f>Bal.sheet!B37</f>
        <v>89.74</v>
      </c>
      <c r="C44" s="331">
        <f>Bal.sheet!C37</f>
        <v>104.07</v>
      </c>
      <c r="D44" s="331">
        <f>Bal.sheet!D37</f>
        <v>113.83</v>
      </c>
      <c r="E44" s="331">
        <f>Bal.sheet!E37</f>
        <v>110.93</v>
      </c>
      <c r="F44" s="331">
        <f>Bal.sheet!F37</f>
        <v>129.66999999999999</v>
      </c>
      <c r="G44" s="331">
        <f>Bal.sheet!G37</f>
        <v>131.5</v>
      </c>
      <c r="H44" s="331">
        <f>Bal.sheet!H37</f>
        <v>148.36000000000001</v>
      </c>
      <c r="I44" s="331">
        <f>Bal.sheet!I37</f>
        <v>177</v>
      </c>
      <c r="J44" s="331">
        <f>Bal.sheet!J37</f>
        <v>204.16</v>
      </c>
      <c r="K44" s="331">
        <f>Bal.sheet!K37</f>
        <v>222.93</v>
      </c>
      <c r="L44" s="333">
        <f>Assumption!L75</f>
        <v>246.7761245456897</v>
      </c>
      <c r="M44" s="333">
        <f>Assumption!M75</f>
        <v>273.17299441882989</v>
      </c>
      <c r="N44" s="333">
        <f>Assumption!N75</f>
        <v>302.39345486574331</v>
      </c>
      <c r="O44" s="333">
        <f>Assumption!O75</f>
        <v>334.73953653501127</v>
      </c>
      <c r="P44" s="333">
        <f>Assumption!P75</f>
        <v>370.54557734863135</v>
      </c>
    </row>
    <row r="45" spans="1:16" ht="14.25" customHeight="1">
      <c r="A45" s="92" t="s">
        <v>190</v>
      </c>
      <c r="B45" s="331">
        <f>Bal.sheet!B12</f>
        <v>49.99</v>
      </c>
      <c r="C45" s="331">
        <f>Bal.sheet!C12</f>
        <v>51.23</v>
      </c>
      <c r="D45" s="331">
        <f>Bal.sheet!D12</f>
        <v>54.29</v>
      </c>
      <c r="E45" s="331">
        <f>Bal.sheet!E12</f>
        <v>57.32</v>
      </c>
      <c r="F45" s="331">
        <f>Bal.sheet!F12</f>
        <v>59.35</v>
      </c>
      <c r="G45" s="331">
        <f>Bal.sheet!G12</f>
        <v>56.92</v>
      </c>
      <c r="H45" s="331">
        <f>Bal.sheet!H12</f>
        <v>60.82</v>
      </c>
      <c r="I45" s="331">
        <f>Bal.sheet!I12</f>
        <v>62.62</v>
      </c>
      <c r="J45" s="331">
        <f>Bal.sheet!J12</f>
        <v>65.63</v>
      </c>
      <c r="K45" s="331">
        <f>Bal.sheet!K12</f>
        <v>64.489999999999995</v>
      </c>
      <c r="L45" s="333"/>
      <c r="M45" s="333"/>
      <c r="N45" s="333"/>
      <c r="O45" s="333"/>
      <c r="P45" s="333"/>
    </row>
    <row r="46" spans="1:16" ht="14.25" customHeight="1">
      <c r="A46" s="95" t="s">
        <v>191</v>
      </c>
      <c r="B46" s="331">
        <f>Bal.sheet!B32</f>
        <v>50.85</v>
      </c>
      <c r="C46" s="331">
        <f>Bal.sheet!C32</f>
        <v>64.510000000000005</v>
      </c>
      <c r="D46" s="331">
        <f>Bal.sheet!D32</f>
        <v>68.290000000000006</v>
      </c>
      <c r="E46" s="331">
        <f>Bal.sheet!E32</f>
        <v>88.92</v>
      </c>
      <c r="F46" s="331">
        <f>Bal.sheet!F32</f>
        <v>127.5</v>
      </c>
      <c r="G46" s="331">
        <f>Bal.sheet!G32</f>
        <v>161.06</v>
      </c>
      <c r="H46" s="331">
        <f>Bal.sheet!H32</f>
        <v>192.93</v>
      </c>
      <c r="I46" s="331">
        <f>Bal.sheet!I32</f>
        <v>202.51</v>
      </c>
      <c r="J46" s="331">
        <f>Bal.sheet!J32</f>
        <v>278.56</v>
      </c>
      <c r="K46" s="331">
        <f>Bal.sheet!K32</f>
        <v>342.69</v>
      </c>
      <c r="L46" s="333">
        <f>Assumption!L70</f>
        <v>384.26086004461871</v>
      </c>
      <c r="M46" s="333">
        <f>Assumption!M70</f>
        <v>430.87457632913146</v>
      </c>
      <c r="N46" s="333">
        <f>Assumption!N70</f>
        <v>483.142885031932</v>
      </c>
      <c r="O46" s="333">
        <f>Assumption!O70</f>
        <v>541.75173050514616</v>
      </c>
      <c r="P46" s="333">
        <f>Assumption!P70</f>
        <v>607.4702672811228</v>
      </c>
    </row>
    <row r="47" spans="1:16" ht="14.25" customHeight="1">
      <c r="A47" s="92" t="s">
        <v>192</v>
      </c>
      <c r="B47" s="331">
        <f>Bal.sheet!B11+Bal.sheet!B12</f>
        <v>137.22</v>
      </c>
      <c r="C47" s="331">
        <f>Bal.sheet!C11+Bal.sheet!C12</f>
        <v>334.98</v>
      </c>
      <c r="D47" s="331">
        <f>Bal.sheet!D11+Bal.sheet!D12</f>
        <v>340.90000000000003</v>
      </c>
      <c r="E47" s="331">
        <f>Bal.sheet!E11+Bal.sheet!E12</f>
        <v>367.18</v>
      </c>
      <c r="F47" s="331">
        <f>Bal.sheet!F11+Bal.sheet!F12</f>
        <v>210</v>
      </c>
      <c r="G47" s="331">
        <f>Bal.sheet!G11+Bal.sheet!G12</f>
        <v>236.79000000000002</v>
      </c>
      <c r="H47" s="331">
        <f>Bal.sheet!H11+Bal.sheet!H12</f>
        <v>621</v>
      </c>
      <c r="I47" s="331">
        <f>Bal.sheet!I11+Bal.sheet!I12</f>
        <v>678.08</v>
      </c>
      <c r="J47" s="331">
        <f>Bal.sheet!J11+Bal.sheet!J12</f>
        <v>841.59</v>
      </c>
      <c r="K47" s="331">
        <f>Bal.sheet!K11+Bal.sheet!K12</f>
        <v>443.21000000000004</v>
      </c>
      <c r="L47" s="333"/>
      <c r="M47" s="333"/>
      <c r="N47" s="333"/>
      <c r="O47" s="333"/>
      <c r="P47" s="333"/>
    </row>
    <row r="48" spans="1:16" ht="14.25" customHeight="1">
      <c r="A48" s="92"/>
      <c r="B48" s="331"/>
      <c r="C48" s="331"/>
      <c r="D48" s="331"/>
      <c r="E48" s="331"/>
      <c r="F48" s="331"/>
      <c r="G48" s="331"/>
      <c r="H48" s="331"/>
      <c r="I48" s="331"/>
      <c r="J48" s="331"/>
      <c r="K48" s="331"/>
      <c r="L48" s="333"/>
      <c r="M48" s="333"/>
      <c r="N48" s="333"/>
      <c r="O48" s="333"/>
      <c r="P48" s="333"/>
    </row>
    <row r="49" spans="1:16" ht="14.25" customHeight="1">
      <c r="A49" s="92" t="s">
        <v>193</v>
      </c>
      <c r="B49" s="331">
        <f>Bal.sheet!B9</f>
        <v>7.68</v>
      </c>
      <c r="C49" s="331">
        <f>Bal.sheet!C9</f>
        <v>209.07</v>
      </c>
      <c r="D49" s="331">
        <f>Bal.sheet!D9</f>
        <v>208.6</v>
      </c>
      <c r="E49" s="331">
        <f>Bal.sheet!E9</f>
        <v>227.73</v>
      </c>
      <c r="F49" s="331">
        <f>Bal.sheet!F9</f>
        <v>101.19</v>
      </c>
      <c r="G49" s="331">
        <f>Bal.sheet!G9</f>
        <v>26.94</v>
      </c>
      <c r="H49" s="331">
        <f>Bal.sheet!H9</f>
        <v>0</v>
      </c>
      <c r="I49" s="331">
        <f>Bal.sheet!I9</f>
        <v>177.76</v>
      </c>
      <c r="J49" s="331">
        <f>Bal.sheet!J9</f>
        <v>99.99</v>
      </c>
      <c r="K49" s="331">
        <f>Bal.sheet!K9</f>
        <v>0.1</v>
      </c>
      <c r="L49" s="333"/>
      <c r="M49" s="333"/>
      <c r="N49" s="333"/>
      <c r="O49" s="333"/>
      <c r="P49" s="333"/>
    </row>
    <row r="50" spans="1:16" ht="14.25" customHeight="1">
      <c r="A50" s="92" t="s">
        <v>194</v>
      </c>
      <c r="B50" s="332">
        <f>Bal.sheet!B31</f>
        <v>1070.8499999999999</v>
      </c>
      <c r="C50" s="332">
        <f>Bal.sheet!C31</f>
        <v>1061.3699999999999</v>
      </c>
      <c r="D50" s="332">
        <f>Bal.sheet!D31</f>
        <v>1080.6199999999999</v>
      </c>
      <c r="E50" s="332">
        <f>Bal.sheet!E31</f>
        <v>1145.54</v>
      </c>
      <c r="F50" s="332">
        <f>Bal.sheet!F31</f>
        <v>1188.3800000000001</v>
      </c>
      <c r="G50" s="332">
        <f>Bal.sheet!G31</f>
        <v>1715.09</v>
      </c>
      <c r="H50" s="332">
        <f>Bal.sheet!H31</f>
        <v>1844.16</v>
      </c>
      <c r="I50" s="332">
        <f>Bal.sheet!I31</f>
        <v>2108.21</v>
      </c>
      <c r="J50" s="332">
        <f>Bal.sheet!J31</f>
        <v>2396.79</v>
      </c>
      <c r="K50" s="332">
        <f>Bal.sheet!K31</f>
        <v>2663.03</v>
      </c>
      <c r="L50" s="333">
        <f>Assumption!L69</f>
        <v>2986.0754563150986</v>
      </c>
      <c r="M50" s="333">
        <f>Assumption!M69</f>
        <v>3348.308742600505</v>
      </c>
      <c r="N50" s="333">
        <f>Assumption!N69</f>
        <v>3754.4836357249583</v>
      </c>
      <c r="O50" s="333">
        <f>Assumption!O69</f>
        <v>4209.9305812457887</v>
      </c>
      <c r="P50" s="333">
        <f>Assumption!P69</f>
        <v>4720.6266476338624</v>
      </c>
    </row>
    <row r="51" spans="1:16" ht="14.25" customHeight="1">
      <c r="A51" s="92" t="s">
        <v>195</v>
      </c>
      <c r="B51" s="331">
        <f>Bal.sheet!B28</f>
        <v>68.260000000000005</v>
      </c>
      <c r="C51" s="331">
        <f>Bal.sheet!C28</f>
        <v>91.81</v>
      </c>
      <c r="D51" s="331">
        <f>Bal.sheet!D28</f>
        <v>132.30000000000001</v>
      </c>
      <c r="E51" s="331">
        <f>Bal.sheet!E28</f>
        <v>109.88</v>
      </c>
      <c r="F51" s="331">
        <f>Bal.sheet!F28</f>
        <v>168.15</v>
      </c>
      <c r="G51" s="331">
        <f>Bal.sheet!G28</f>
        <v>148.71</v>
      </c>
      <c r="H51" s="331">
        <f>Bal.sheet!H28</f>
        <v>126.06</v>
      </c>
      <c r="I51" s="331">
        <f>Bal.sheet!I28</f>
        <v>140.4</v>
      </c>
      <c r="J51" s="331">
        <f>Bal.sheet!J28</f>
        <v>232</v>
      </c>
      <c r="K51" s="331">
        <f>Bal.sheet!K28</f>
        <v>280.07</v>
      </c>
      <c r="L51" s="333">
        <f>Assumption!L65</f>
        <v>305.46353881819812</v>
      </c>
      <c r="M51" s="333">
        <f>Assumption!M65</f>
        <v>333.15947280085993</v>
      </c>
      <c r="N51" s="333">
        <f>Assumption!N65</f>
        <v>363.36655676279469</v>
      </c>
      <c r="O51" s="333">
        <f>Assumption!O65</f>
        <v>396.3124730136999</v>
      </c>
      <c r="P51" s="333">
        <f>Assumption!P65</f>
        <v>432.24554748654418</v>
      </c>
    </row>
    <row r="52" spans="1:16" ht="14.25" customHeight="1">
      <c r="A52" s="92" t="s">
        <v>196</v>
      </c>
      <c r="B52" s="331"/>
      <c r="C52" s="331"/>
      <c r="D52" s="331"/>
      <c r="E52" s="331"/>
      <c r="F52" s="331"/>
      <c r="G52" s="331"/>
      <c r="H52" s="331"/>
      <c r="I52" s="331"/>
      <c r="J52" s="331"/>
      <c r="K52" s="331"/>
      <c r="L52" s="333"/>
      <c r="M52" s="333"/>
      <c r="N52" s="333"/>
      <c r="O52" s="333"/>
      <c r="P52" s="333"/>
    </row>
    <row r="53" spans="1:16" ht="14.25" customHeight="1">
      <c r="A53" s="95" t="s">
        <v>197</v>
      </c>
      <c r="B53" s="331">
        <f>Bal.sheet!B32</f>
        <v>50.85</v>
      </c>
      <c r="C53" s="331">
        <f>Bal.sheet!C32</f>
        <v>64.510000000000005</v>
      </c>
      <c r="D53" s="331">
        <f>Bal.sheet!D32</f>
        <v>68.290000000000006</v>
      </c>
      <c r="E53" s="331">
        <f>Bal.sheet!E32</f>
        <v>88.92</v>
      </c>
      <c r="F53" s="331">
        <f>Bal.sheet!F32</f>
        <v>127.5</v>
      </c>
      <c r="G53" s="331">
        <f>Bal.sheet!G32</f>
        <v>161.06</v>
      </c>
      <c r="H53" s="331">
        <f>Bal.sheet!H32</f>
        <v>192.93</v>
      </c>
      <c r="I53" s="331">
        <f>Bal.sheet!I32</f>
        <v>202.51</v>
      </c>
      <c r="J53" s="331">
        <f>Bal.sheet!J32</f>
        <v>278.56</v>
      </c>
      <c r="K53" s="331">
        <f>Bal.sheet!K32</f>
        <v>342.69</v>
      </c>
      <c r="L53" s="333"/>
      <c r="M53" s="333"/>
      <c r="N53" s="333"/>
      <c r="O53" s="333"/>
      <c r="P53" s="333"/>
    </row>
    <row r="54" spans="1:16" ht="14.25" customHeight="1">
      <c r="A54" s="92" t="s">
        <v>82</v>
      </c>
      <c r="B54" s="332">
        <f>Bal.sheet!B33</f>
        <v>1121.7</v>
      </c>
      <c r="C54" s="332">
        <f>Bal.sheet!C33</f>
        <v>1125.8800000000001</v>
      </c>
      <c r="D54" s="332">
        <f>Bal.sheet!D33</f>
        <v>1148.9100000000001</v>
      </c>
      <c r="E54" s="332">
        <f>Bal.sheet!E33</f>
        <v>1234.46</v>
      </c>
      <c r="F54" s="332">
        <f>Bal.sheet!F33</f>
        <v>1315.88</v>
      </c>
      <c r="G54" s="332">
        <f>Bal.sheet!G33</f>
        <v>1876.15</v>
      </c>
      <c r="H54" s="332">
        <f>Bal.sheet!H33</f>
        <v>2037.09</v>
      </c>
      <c r="I54" s="332">
        <f>Bal.sheet!I33</f>
        <v>2310.7199999999998</v>
      </c>
      <c r="J54" s="332">
        <f>Bal.sheet!J33</f>
        <v>2675.35</v>
      </c>
      <c r="K54" s="332">
        <f>Bal.sheet!K33</f>
        <v>3005.72</v>
      </c>
      <c r="L54" s="333">
        <f>Assumption!L71</f>
        <v>3370.3363163597169</v>
      </c>
      <c r="M54" s="333">
        <f>Assumption!M71</f>
        <v>3779.1833189296362</v>
      </c>
      <c r="N54" s="333">
        <f>Assumption!N71</f>
        <v>4237.6265207568904</v>
      </c>
      <c r="O54" s="333">
        <f>Assumption!O71</f>
        <v>4751.6823117509357</v>
      </c>
      <c r="P54" s="333">
        <f>Assumption!P71</f>
        <v>5328.0969149149869</v>
      </c>
    </row>
    <row r="55" spans="1:16" ht="14.25" customHeight="1">
      <c r="A55" s="92" t="s">
        <v>187</v>
      </c>
      <c r="B55" s="331"/>
      <c r="C55" s="331"/>
      <c r="D55" s="331"/>
      <c r="E55" s="331"/>
      <c r="F55" s="331"/>
      <c r="G55" s="331"/>
      <c r="H55" s="331"/>
      <c r="I55" s="331"/>
      <c r="J55" s="331"/>
      <c r="K55" s="331"/>
      <c r="L55" s="333"/>
      <c r="M55" s="333"/>
      <c r="N55" s="333"/>
      <c r="O55" s="333"/>
      <c r="P55" s="333"/>
    </row>
    <row r="56" spans="1:16" ht="15" customHeight="1">
      <c r="A56" s="98" t="s">
        <v>198</v>
      </c>
      <c r="B56" s="332">
        <f>Bal.sheet!B13</f>
        <v>3231.51</v>
      </c>
      <c r="C56" s="332">
        <f>Bal.sheet!C13</f>
        <v>3992.86</v>
      </c>
      <c r="D56" s="332">
        <f>Bal.sheet!D13</f>
        <v>4567.76</v>
      </c>
      <c r="E56" s="332">
        <f>Bal.sheet!E13</f>
        <v>4336</v>
      </c>
      <c r="F56" s="332">
        <f>Bal.sheet!F13</f>
        <v>4784.2299999999996</v>
      </c>
      <c r="G56" s="332">
        <f>Bal.sheet!G13</f>
        <v>5628.01</v>
      </c>
      <c r="H56" s="332">
        <f>Bal.sheet!H13</f>
        <v>6484.87</v>
      </c>
      <c r="I56" s="332">
        <f>Bal.sheet!I13</f>
        <v>6964.96</v>
      </c>
      <c r="J56" s="332">
        <f>Bal.sheet!J13</f>
        <v>7756.96</v>
      </c>
      <c r="K56" s="332">
        <f>Bal.sheet!K13</f>
        <v>7866.5</v>
      </c>
      <c r="L56" s="333">
        <f>Assumption!L52</f>
        <v>7976.0400000000009</v>
      </c>
      <c r="M56" s="333">
        <f>Assumption!M52</f>
        <v>8085.5800000000027</v>
      </c>
      <c r="N56" s="333">
        <f>Assumption!N52</f>
        <v>8195.1200000000044</v>
      </c>
      <c r="O56" s="333">
        <f>Assumption!O52</f>
        <v>8304.6600000000071</v>
      </c>
      <c r="P56" s="333">
        <f>Assumption!P52</f>
        <v>8414.2000000000098</v>
      </c>
    </row>
    <row r="57" spans="1:16" ht="15" customHeight="1">
      <c r="A57" s="92"/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L57" s="333"/>
      <c r="M57" s="333"/>
      <c r="N57" s="333"/>
      <c r="O57" s="333"/>
      <c r="P57" s="333"/>
    </row>
    <row r="58" spans="1:16" ht="14.25" customHeight="1">
      <c r="A58" s="92" t="s">
        <v>199</v>
      </c>
      <c r="B58" s="331">
        <f>Bal.sheet!B18</f>
        <v>638.80999999999995</v>
      </c>
      <c r="C58" s="331">
        <f>Bal.sheet!C18</f>
        <v>993.33</v>
      </c>
      <c r="D58" s="332">
        <f>Bal.sheet!D18</f>
        <v>1030.48</v>
      </c>
      <c r="E58" s="332">
        <f>Bal.sheet!E18</f>
        <v>1036.6199999999999</v>
      </c>
      <c r="F58" s="332">
        <f>Bal.sheet!F18</f>
        <v>1134.28</v>
      </c>
      <c r="G58" s="332">
        <f>Bal.sheet!G18</f>
        <v>1204.81</v>
      </c>
      <c r="H58" s="332">
        <f>Bal.sheet!H18</f>
        <v>1399</v>
      </c>
      <c r="I58" s="332">
        <f>Bal.sheet!I18</f>
        <v>1661.97</v>
      </c>
      <c r="J58" s="332">
        <f>Bal.sheet!J18</f>
        <v>1878.2</v>
      </c>
      <c r="K58" s="332">
        <f>Bal.sheet!K18</f>
        <v>2035.62</v>
      </c>
      <c r="L58" s="333">
        <f>Assumption!L56</f>
        <v>0</v>
      </c>
      <c r="M58" s="333">
        <f>Assumption!M56</f>
        <v>0</v>
      </c>
      <c r="N58" s="333">
        <f>Assumption!N56</f>
        <v>0</v>
      </c>
      <c r="O58" s="333">
        <f>Assumption!O56</f>
        <v>0</v>
      </c>
      <c r="P58" s="333">
        <f>Assumption!P56</f>
        <v>0</v>
      </c>
    </row>
    <row r="59" spans="1:16" ht="14.25" customHeight="1">
      <c r="A59" s="92" t="s">
        <v>200</v>
      </c>
      <c r="B59" s="331"/>
      <c r="C59" s="331"/>
      <c r="D59" s="331"/>
      <c r="E59" s="331"/>
      <c r="F59" s="331"/>
      <c r="G59" s="331"/>
      <c r="H59" s="331"/>
      <c r="I59" s="331"/>
      <c r="J59" s="331"/>
      <c r="K59" s="331"/>
      <c r="L59" s="333"/>
      <c r="M59" s="333"/>
      <c r="N59" s="333"/>
      <c r="O59" s="333"/>
      <c r="P59" s="333"/>
    </row>
    <row r="60" spans="1:16" ht="14.25" customHeight="1">
      <c r="A60" s="92" t="s">
        <v>201</v>
      </c>
      <c r="B60" s="331">
        <f>Bal.sheet!B21</f>
        <v>24.96</v>
      </c>
      <c r="C60" s="331">
        <f>Bal.sheet!C21</f>
        <v>28.25</v>
      </c>
      <c r="D60" s="331">
        <f>Bal.sheet!D21</f>
        <v>26.82</v>
      </c>
      <c r="E60" s="331">
        <f>Bal.sheet!E21</f>
        <v>21.69</v>
      </c>
      <c r="F60" s="331">
        <f>Bal.sheet!F21</f>
        <v>105.83</v>
      </c>
      <c r="G60" s="331">
        <f>Bal.sheet!G21</f>
        <v>107.26</v>
      </c>
      <c r="H60" s="331">
        <f>Bal.sheet!H21</f>
        <v>128.47999999999999</v>
      </c>
      <c r="I60" s="331">
        <f>Bal.sheet!I21</f>
        <v>109.43</v>
      </c>
      <c r="J60" s="331">
        <f>Bal.sheet!J21</f>
        <v>184.23</v>
      </c>
      <c r="K60" s="331">
        <f>Bal.sheet!K21</f>
        <v>136.88</v>
      </c>
      <c r="L60" s="333">
        <f>Assumption!L58</f>
        <v>149.50255825192593</v>
      </c>
      <c r="M60" s="333">
        <f>Assumption!M58</f>
        <v>163.28912130238535</v>
      </c>
      <c r="N60" s="333">
        <f>Assumption!N58</f>
        <v>178.34702929146457</v>
      </c>
      <c r="O60" s="333">
        <f>Assumption!O58</f>
        <v>194.79352086283697</v>
      </c>
      <c r="P60" s="333">
        <f>Assumption!P58</f>
        <v>212.75664596649648</v>
      </c>
    </row>
    <row r="61" spans="1:16" ht="14.25" customHeight="1">
      <c r="A61" s="92" t="s">
        <v>202</v>
      </c>
      <c r="B61" s="332">
        <f>Bal.sheet!B23</f>
        <v>2570.31</v>
      </c>
      <c r="C61" s="332">
        <f>Bal.sheet!C23</f>
        <v>3054.15</v>
      </c>
      <c r="D61" s="332">
        <f>Bal.sheet!D23</f>
        <v>3433.06</v>
      </c>
      <c r="E61" s="332">
        <f>Bal.sheet!E23</f>
        <v>2962.14</v>
      </c>
      <c r="F61" s="332">
        <f>Bal.sheet!F23</f>
        <v>2466.83</v>
      </c>
      <c r="G61" s="332">
        <f>Bal.sheet!G23</f>
        <v>3573.9</v>
      </c>
      <c r="H61" s="332">
        <f>Bal.sheet!H23</f>
        <v>5007.08</v>
      </c>
      <c r="I61" s="332">
        <f>Bal.sheet!I23</f>
        <v>5475.05</v>
      </c>
      <c r="J61" s="332">
        <f>Bal.sheet!J23</f>
        <v>6148.47</v>
      </c>
      <c r="K61" s="332">
        <f>Bal.sheet!K23</f>
        <v>6358.82</v>
      </c>
      <c r="L61" s="333">
        <f>Assumption!L59</f>
        <v>6945.2064396808273</v>
      </c>
      <c r="M61" s="333">
        <f>Assumption!M59</f>
        <v>7585.6672291060349</v>
      </c>
      <c r="N61" s="333">
        <f>Assumption!N59</f>
        <v>8285.1889012211468</v>
      </c>
      <c r="O61" s="333">
        <f>Assumption!O59</f>
        <v>9049.2178282658151</v>
      </c>
      <c r="P61" s="333">
        <f>Assumption!P59</f>
        <v>9883.7026264222441</v>
      </c>
    </row>
    <row r="62" spans="1:16" ht="14.25" customHeight="1">
      <c r="A62" s="92" t="s">
        <v>203</v>
      </c>
      <c r="B62" s="331">
        <f>Bal.sheet!B39</f>
        <v>35.51</v>
      </c>
      <c r="C62" s="331">
        <f>Bal.sheet!C39</f>
        <v>90.8</v>
      </c>
      <c r="D62" s="331">
        <f>Bal.sheet!D39</f>
        <v>76.89</v>
      </c>
      <c r="E62" s="331">
        <f>Bal.sheet!E39</f>
        <v>159.38</v>
      </c>
      <c r="F62" s="331">
        <f>Bal.sheet!F39</f>
        <v>489.03</v>
      </c>
      <c r="G62" s="331">
        <f>Bal.sheet!G39</f>
        <v>221.89</v>
      </c>
      <c r="H62" s="331">
        <f>Bal.sheet!H39</f>
        <v>102.69</v>
      </c>
      <c r="I62" s="331">
        <f>Bal.sheet!I39</f>
        <v>147.24</v>
      </c>
      <c r="J62" s="331">
        <f>Bal.sheet!J39</f>
        <v>149.71</v>
      </c>
      <c r="K62" s="331">
        <f>Bal.sheet!K39</f>
        <v>172.41</v>
      </c>
      <c r="L62" s="333">
        <f>Assumption!L77</f>
        <v>190.85215822420653</v>
      </c>
      <c r="M62" s="333">
        <f>Assumption!M77</f>
        <v>211.26701640761883</v>
      </c>
      <c r="N62" s="333">
        <f>Assumption!N77</f>
        <v>233.86558809223888</v>
      </c>
      <c r="O62" s="333">
        <f>Assumption!O77</f>
        <v>258.88145827838923</v>
      </c>
      <c r="P62" s="333">
        <f>Assumption!P77</f>
        <v>286.57319782298276</v>
      </c>
    </row>
    <row r="63" spans="1:16" ht="14.25" customHeight="1">
      <c r="A63" s="92" t="s">
        <v>204</v>
      </c>
      <c r="B63" s="331">
        <f>Bal.sheet!B36</f>
        <v>13.22</v>
      </c>
      <c r="C63" s="331">
        <f>Bal.sheet!C36</f>
        <v>5.79</v>
      </c>
      <c r="D63" s="331">
        <f>Bal.sheet!D36</f>
        <v>17.8</v>
      </c>
      <c r="E63" s="331">
        <f>Bal.sheet!E36</f>
        <v>102.61</v>
      </c>
      <c r="F63" s="331">
        <f>Bal.sheet!F36</f>
        <v>151.29</v>
      </c>
      <c r="G63" s="331">
        <f>Bal.sheet!G36</f>
        <v>148.94999999999999</v>
      </c>
      <c r="H63" s="331">
        <f>Bal.sheet!H36</f>
        <v>78.319999999999993</v>
      </c>
      <c r="I63" s="331">
        <f>Bal.sheet!I36</f>
        <v>100.24</v>
      </c>
      <c r="J63" s="331">
        <f>Bal.sheet!J36</f>
        <v>103.66</v>
      </c>
      <c r="K63" s="331">
        <f>Bal.sheet!K36</f>
        <v>89.68</v>
      </c>
      <c r="L63" s="333">
        <f>Assumption!L74</f>
        <v>99.272788988729431</v>
      </c>
      <c r="M63" s="333">
        <f>Assumption!M74</f>
        <v>109.89168859947368</v>
      </c>
      <c r="N63" s="333">
        <f>Assumption!N74</f>
        <v>121.64645867474034</v>
      </c>
      <c r="O63" s="333">
        <f>Assumption!O74</f>
        <v>134.65859972394841</v>
      </c>
      <c r="P63" s="333">
        <f>Assumption!P74</f>
        <v>149.06260878583083</v>
      </c>
    </row>
    <row r="64" spans="1:16" ht="14.25" customHeight="1">
      <c r="A64" s="92" t="s">
        <v>205</v>
      </c>
      <c r="B64" s="331">
        <f>Bal.sheet!B41</f>
        <v>1.54</v>
      </c>
      <c r="C64" s="331">
        <f>Bal.sheet!C41</f>
        <v>74.599999999999994</v>
      </c>
      <c r="D64" s="331">
        <f>Bal.sheet!D41</f>
        <v>54.09</v>
      </c>
      <c r="E64" s="331">
        <f>Bal.sheet!E41</f>
        <v>67.739999999999995</v>
      </c>
      <c r="F64" s="331">
        <f>Bal.sheet!F41</f>
        <v>68.12</v>
      </c>
      <c r="G64" s="331">
        <f>Bal.sheet!G41</f>
        <v>112.9</v>
      </c>
      <c r="H64" s="331">
        <f>Bal.sheet!H41</f>
        <v>79.510000000000005</v>
      </c>
      <c r="I64" s="331">
        <f>Bal.sheet!I41</f>
        <v>71.760000000000005</v>
      </c>
      <c r="J64" s="331">
        <f>Bal.sheet!J41</f>
        <v>92.73</v>
      </c>
      <c r="K64" s="331">
        <f>Bal.sheet!K41</f>
        <v>131.5</v>
      </c>
      <c r="L64" s="333"/>
      <c r="M64" s="333"/>
      <c r="N64" s="333"/>
      <c r="O64" s="333"/>
      <c r="P64" s="333"/>
    </row>
    <row r="65" spans="1:16" ht="14.25" customHeight="1">
      <c r="A65" s="93" t="s">
        <v>206</v>
      </c>
      <c r="B65" s="331">
        <f t="shared" ref="B65:P65" si="6">B58+B59+B60+B61+B62+B63+B64</f>
        <v>3284.35</v>
      </c>
      <c r="C65" s="331">
        <f t="shared" si="6"/>
        <v>4246.92</v>
      </c>
      <c r="D65" s="331">
        <f t="shared" si="6"/>
        <v>4639.1400000000003</v>
      </c>
      <c r="E65" s="331">
        <f t="shared" si="6"/>
        <v>4350.1799999999994</v>
      </c>
      <c r="F65" s="331">
        <f t="shared" si="6"/>
        <v>4415.3799999999992</v>
      </c>
      <c r="G65" s="331">
        <f t="shared" si="6"/>
        <v>5369.71</v>
      </c>
      <c r="H65" s="331">
        <f t="shared" si="6"/>
        <v>6795.079999999999</v>
      </c>
      <c r="I65" s="331">
        <f t="shared" si="6"/>
        <v>7565.6900000000005</v>
      </c>
      <c r="J65" s="331">
        <f t="shared" si="6"/>
        <v>8556.9999999999982</v>
      </c>
      <c r="K65" s="331">
        <f t="shared" si="6"/>
        <v>8924.91</v>
      </c>
      <c r="L65" s="333">
        <f t="shared" si="6"/>
        <v>7384.8339451456886</v>
      </c>
      <c r="M65" s="333">
        <f t="shared" si="6"/>
        <v>8070.1150554155129</v>
      </c>
      <c r="N65" s="333">
        <f t="shared" si="6"/>
        <v>8819.0479772795916</v>
      </c>
      <c r="O65" s="333">
        <f t="shared" si="6"/>
        <v>9637.5514071309899</v>
      </c>
      <c r="P65" s="333">
        <f t="shared" si="6"/>
        <v>10532.095078997554</v>
      </c>
    </row>
    <row r="66" spans="1:16" ht="14.25" customHeight="1">
      <c r="A66" s="92"/>
      <c r="B66" s="331"/>
      <c r="C66" s="331"/>
      <c r="D66" s="331"/>
      <c r="E66" s="331"/>
      <c r="F66" s="331"/>
      <c r="G66" s="331"/>
      <c r="H66" s="331"/>
      <c r="I66" s="331"/>
      <c r="J66" s="331"/>
      <c r="K66" s="331"/>
      <c r="L66" s="333"/>
      <c r="M66" s="333"/>
      <c r="N66" s="333"/>
      <c r="O66" s="333"/>
      <c r="P66" s="333"/>
    </row>
    <row r="67" spans="1:16" ht="14.25" customHeight="1">
      <c r="A67" s="92" t="s">
        <v>207</v>
      </c>
      <c r="B67" s="331">
        <f>Bal.sheet!B25</f>
        <v>615.55999999999995</v>
      </c>
      <c r="C67" s="331">
        <f>Bal.sheet!C25</f>
        <v>599.27</v>
      </c>
      <c r="D67" s="331">
        <f>Bal.sheet!D25</f>
        <v>704.79</v>
      </c>
      <c r="E67" s="331">
        <f>Bal.sheet!E25</f>
        <v>732.9</v>
      </c>
      <c r="F67" s="331">
        <f>Bal.sheet!F25</f>
        <v>809.14</v>
      </c>
      <c r="G67" s="332">
        <f>Bal.sheet!G25</f>
        <v>1114.1600000000001</v>
      </c>
      <c r="H67" s="332">
        <f>Bal.sheet!H25</f>
        <v>1237.96</v>
      </c>
      <c r="I67" s="332">
        <f>Bal.sheet!I25</f>
        <v>1223.77</v>
      </c>
      <c r="J67" s="332">
        <f>Bal.sheet!J25</f>
        <v>1149.8800000000001</v>
      </c>
      <c r="K67" s="332">
        <f>Bal.sheet!K25</f>
        <v>1288.07</v>
      </c>
      <c r="L67" s="333">
        <f>Assumption!L61</f>
        <v>1406.8509658646863</v>
      </c>
      <c r="M67" s="333">
        <f>Assumption!M61</f>
        <v>1536.5854651955256</v>
      </c>
      <c r="N67" s="333">
        <f>Assumption!N61</f>
        <v>1678.2835916091233</v>
      </c>
      <c r="O67" s="333">
        <f>Assumption!O61</f>
        <v>1833.0485857524434</v>
      </c>
      <c r="P67" s="333">
        <f>Assumption!P61</f>
        <v>2002.0854249712531</v>
      </c>
    </row>
    <row r="68" spans="1:16" ht="14.25" customHeight="1">
      <c r="A68" s="92" t="s">
        <v>208</v>
      </c>
      <c r="B68" s="331">
        <f>Bal.sheet!B26</f>
        <v>420.69</v>
      </c>
      <c r="C68" s="331">
        <f>Bal.sheet!C26</f>
        <v>333.25</v>
      </c>
      <c r="D68" s="331">
        <f>Bal.sheet!D26</f>
        <v>321.33999999999997</v>
      </c>
      <c r="E68" s="331">
        <f>Bal.sheet!E26</f>
        <v>431.46</v>
      </c>
      <c r="F68" s="331">
        <f>Bal.sheet!F26</f>
        <v>379.63</v>
      </c>
      <c r="G68" s="331">
        <f>Bal.sheet!G26</f>
        <v>281.24</v>
      </c>
      <c r="H68" s="331">
        <f>Bal.sheet!H26</f>
        <v>454.55</v>
      </c>
      <c r="I68" s="331">
        <f>Bal.sheet!I26</f>
        <v>561.17999999999995</v>
      </c>
      <c r="J68" s="331">
        <f>Bal.sheet!J26</f>
        <v>719.21</v>
      </c>
      <c r="K68" s="331">
        <f>Bal.sheet!K26</f>
        <v>600.58000000000004</v>
      </c>
      <c r="L68" s="333">
        <f>Assumption!L63</f>
        <v>655.03371351245562</v>
      </c>
      <c r="M68" s="333">
        <f>Assumption!M63</f>
        <v>714.42466588617299</v>
      </c>
      <c r="N68" s="333">
        <f>Assumption!N63</f>
        <v>779.20050937479641</v>
      </c>
      <c r="O68" s="333">
        <f>Assumption!O63</f>
        <v>849.8494842095472</v>
      </c>
      <c r="P68" s="333">
        <f>Assumption!P63</f>
        <v>926.90409865201093</v>
      </c>
    </row>
    <row r="69" spans="1:16" ht="14.25" customHeight="1">
      <c r="A69" s="92" t="s">
        <v>209</v>
      </c>
      <c r="B69" s="331">
        <f>Bal.sheet!B27</f>
        <v>55.63</v>
      </c>
      <c r="C69" s="331">
        <f>Bal.sheet!C27</f>
        <v>26.16</v>
      </c>
      <c r="D69" s="331">
        <f>Bal.sheet!D27</f>
        <v>87.02</v>
      </c>
      <c r="E69" s="331">
        <f>Bal.sheet!E27</f>
        <v>124.71</v>
      </c>
      <c r="F69" s="331">
        <f>Bal.sheet!F27</f>
        <v>525.6</v>
      </c>
      <c r="G69" s="331">
        <f>Bal.sheet!G27</f>
        <v>834.74</v>
      </c>
      <c r="H69" s="331">
        <f>Bal.sheet!H27</f>
        <v>136.18</v>
      </c>
      <c r="I69" s="331">
        <f>Bal.sheet!I27</f>
        <v>33.4</v>
      </c>
      <c r="J69" s="331">
        <f>Bal.sheet!J27</f>
        <v>71.11</v>
      </c>
      <c r="K69" s="331">
        <f>Bal.sheet!K27</f>
        <v>133.02000000000001</v>
      </c>
      <c r="L69" s="333">
        <f>Assumption!L64</f>
        <v>145.08072958045031</v>
      </c>
      <c r="M69" s="333">
        <f>Assumption!M64</f>
        <v>158.23498793862387</v>
      </c>
      <c r="N69" s="333">
        <f>Assumption!N64</f>
        <v>172.5819237354481</v>
      </c>
      <c r="O69" s="333">
        <f>Assumption!O64</f>
        <v>188.22967529647005</v>
      </c>
      <c r="P69" s="333">
        <f>Assumption!P64</f>
        <v>205.29618569164893</v>
      </c>
    </row>
    <row r="70" spans="1:16" ht="14.25" customHeight="1">
      <c r="A70" s="92" t="s">
        <v>210</v>
      </c>
      <c r="B70" s="331">
        <f>Bal.sheet!B28</f>
        <v>68.260000000000005</v>
      </c>
      <c r="C70" s="331">
        <f>Bal.sheet!C28</f>
        <v>91.81</v>
      </c>
      <c r="D70" s="331">
        <f>Bal.sheet!D28</f>
        <v>132.30000000000001</v>
      </c>
      <c r="E70" s="331">
        <f>Bal.sheet!E28</f>
        <v>109.88</v>
      </c>
      <c r="F70" s="331">
        <f>Bal.sheet!F28</f>
        <v>168.15</v>
      </c>
      <c r="G70" s="331">
        <f>Bal.sheet!G28</f>
        <v>148.71</v>
      </c>
      <c r="H70" s="331">
        <f>Bal.sheet!H28</f>
        <v>126.06</v>
      </c>
      <c r="I70" s="331">
        <f>Bal.sheet!I28</f>
        <v>140.4</v>
      </c>
      <c r="J70" s="331">
        <f>Bal.sheet!J28</f>
        <v>232</v>
      </c>
      <c r="K70" s="331">
        <f>Bal.sheet!K28</f>
        <v>280.07</v>
      </c>
      <c r="L70" s="333">
        <f>Assumption!L65</f>
        <v>305.46353881819812</v>
      </c>
      <c r="M70" s="333">
        <f>Assumption!M65</f>
        <v>333.15947280085993</v>
      </c>
      <c r="N70" s="333">
        <f>Assumption!N65</f>
        <v>363.36655676279469</v>
      </c>
      <c r="O70" s="333">
        <f>Assumption!O65</f>
        <v>396.3124730136999</v>
      </c>
      <c r="P70" s="333">
        <f>Assumption!P65</f>
        <v>432.24554748654418</v>
      </c>
    </row>
    <row r="71" spans="1:16" ht="14.25" customHeight="1">
      <c r="A71" s="92" t="s">
        <v>211</v>
      </c>
      <c r="B71" s="331"/>
      <c r="C71" s="331"/>
      <c r="D71" s="331"/>
      <c r="E71" s="331"/>
      <c r="F71" s="331"/>
      <c r="G71" s="331"/>
      <c r="H71" s="331"/>
      <c r="I71" s="331"/>
      <c r="J71" s="331"/>
      <c r="K71" s="331"/>
      <c r="L71" s="333"/>
      <c r="M71" s="333"/>
      <c r="N71" s="333"/>
      <c r="O71" s="333"/>
      <c r="P71" s="333"/>
    </row>
    <row r="72" spans="1:16" ht="14.25" customHeight="1">
      <c r="A72" s="92" t="s">
        <v>212</v>
      </c>
      <c r="B72" s="331"/>
      <c r="C72" s="331"/>
      <c r="D72" s="331"/>
      <c r="E72" s="331"/>
      <c r="F72" s="331"/>
      <c r="G72" s="331"/>
      <c r="H72" s="331"/>
      <c r="I72" s="331"/>
      <c r="J72" s="331"/>
      <c r="K72" s="331"/>
      <c r="L72" s="333"/>
      <c r="M72" s="333"/>
      <c r="N72" s="333"/>
      <c r="O72" s="333"/>
      <c r="P72" s="333"/>
    </row>
    <row r="73" spans="1:16" ht="14.25" customHeight="1">
      <c r="A73" s="92" t="s">
        <v>213</v>
      </c>
      <c r="B73" s="331"/>
      <c r="C73" s="331"/>
      <c r="D73" s="331"/>
      <c r="E73" s="331"/>
      <c r="F73" s="331"/>
      <c r="G73" s="331"/>
      <c r="H73" s="331"/>
      <c r="I73" s="331"/>
      <c r="J73" s="331"/>
      <c r="K73" s="331"/>
      <c r="L73" s="333"/>
      <c r="M73" s="333"/>
      <c r="N73" s="333"/>
      <c r="O73" s="333"/>
      <c r="P73" s="333"/>
    </row>
    <row r="74" spans="1:16" ht="14.25" customHeight="1">
      <c r="A74" s="95" t="s">
        <v>214</v>
      </c>
      <c r="B74" s="331"/>
      <c r="C74" s="331"/>
      <c r="D74" s="331"/>
      <c r="E74" s="331"/>
      <c r="F74" s="331"/>
      <c r="G74" s="331"/>
      <c r="H74" s="331"/>
      <c r="I74" s="331"/>
      <c r="J74" s="331"/>
      <c r="K74" s="331"/>
      <c r="L74" s="333"/>
      <c r="M74" s="333"/>
      <c r="N74" s="333"/>
      <c r="O74" s="333"/>
      <c r="P74" s="333"/>
    </row>
    <row r="75" spans="1:16" ht="14.25" customHeight="1">
      <c r="A75" s="92" t="s">
        <v>78</v>
      </c>
      <c r="B75" s="332">
        <f>Bal.sheet!B29</f>
        <v>1160.1400000000001</v>
      </c>
      <c r="C75" s="332">
        <f>Bal.sheet!C29</f>
        <v>1050.49</v>
      </c>
      <c r="D75" s="332">
        <f>Bal.sheet!D29</f>
        <v>1245.45</v>
      </c>
      <c r="E75" s="332">
        <f>Bal.sheet!E29</f>
        <v>1398.95</v>
      </c>
      <c r="F75" s="332">
        <f>Bal.sheet!F29</f>
        <v>1882.52</v>
      </c>
      <c r="G75" s="332">
        <f>Bal.sheet!G29</f>
        <v>2378.85</v>
      </c>
      <c r="H75" s="332">
        <f>Bal.sheet!H29</f>
        <v>1954.75</v>
      </c>
      <c r="I75" s="332">
        <f>Bal.sheet!I29</f>
        <v>1958.75</v>
      </c>
      <c r="J75" s="332">
        <f>Bal.sheet!J29</f>
        <v>2172.1999999999998</v>
      </c>
      <c r="K75" s="332">
        <f>Bal.sheet!K29</f>
        <v>2301.7399999999998</v>
      </c>
      <c r="L75" s="333">
        <f>Assumption!L66</f>
        <v>2510.4354120019971</v>
      </c>
      <c r="M75" s="333">
        <f>Assumption!M66</f>
        <v>2738.0529329262372</v>
      </c>
      <c r="N75" s="333">
        <f>Assumption!N66</f>
        <v>2986.3082028178487</v>
      </c>
      <c r="O75" s="333">
        <f>Assumption!O66</f>
        <v>3257.0724163050431</v>
      </c>
      <c r="P75" s="333">
        <f>Assumption!P66</f>
        <v>3552.386426506509</v>
      </c>
    </row>
    <row r="76" spans="1:16" ht="14.25" customHeight="1">
      <c r="A76" s="92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3"/>
      <c r="M76" s="333"/>
      <c r="N76" s="333"/>
      <c r="O76" s="333"/>
      <c r="P76" s="333"/>
    </row>
    <row r="77" spans="1:16" ht="14.25" customHeight="1">
      <c r="A77" s="92"/>
      <c r="B77" s="331"/>
      <c r="C77" s="331"/>
      <c r="D77" s="331"/>
      <c r="E77" s="331"/>
      <c r="F77" s="331"/>
      <c r="G77" s="331"/>
      <c r="H77" s="331"/>
      <c r="I77" s="331"/>
      <c r="J77" s="331"/>
      <c r="K77" s="331"/>
      <c r="L77" s="333"/>
      <c r="M77" s="333"/>
      <c r="N77" s="333"/>
      <c r="O77" s="333"/>
      <c r="P77" s="333"/>
    </row>
    <row r="78" spans="1:16" ht="15" customHeight="1">
      <c r="A78" s="98" t="s">
        <v>90</v>
      </c>
      <c r="B78" s="332">
        <f>Bal.sheet!B43</f>
        <v>3231.51</v>
      </c>
      <c r="C78" s="332">
        <f>Bal.sheet!C43</f>
        <v>3992.86</v>
      </c>
      <c r="D78" s="332">
        <f>Bal.sheet!D43</f>
        <v>4567.76</v>
      </c>
      <c r="E78" s="332">
        <f>Bal.sheet!E43</f>
        <v>4336</v>
      </c>
      <c r="F78" s="332">
        <f>Bal.sheet!F43</f>
        <v>4784.2299999999996</v>
      </c>
      <c r="G78" s="332">
        <f>Bal.sheet!G43</f>
        <v>5628.01</v>
      </c>
      <c r="H78" s="332">
        <f>Bal.sheet!H43</f>
        <v>6484.87</v>
      </c>
      <c r="I78" s="332">
        <f>Bal.sheet!I43</f>
        <v>6964.96</v>
      </c>
      <c r="J78" s="332">
        <f>Bal.sheet!J43</f>
        <v>7756.96</v>
      </c>
      <c r="K78" s="332">
        <f>Bal.sheet!K43</f>
        <v>7866.5</v>
      </c>
      <c r="L78" s="333">
        <f>Assumption!L78</f>
        <v>7976.0400000000009</v>
      </c>
      <c r="M78" s="333">
        <f>Assumption!M78</f>
        <v>8085.5800000000027</v>
      </c>
      <c r="N78" s="333">
        <f>Assumption!N78</f>
        <v>8195.1200000000044</v>
      </c>
      <c r="O78" s="333">
        <f>Assumption!O78</f>
        <v>8304.6600000000071</v>
      </c>
      <c r="P78" s="333">
        <f>Assumption!P78</f>
        <v>8414.2000000000098</v>
      </c>
    </row>
    <row r="79" spans="1:16" ht="15" customHeight="1">
      <c r="A79" s="99"/>
    </row>
    <row r="80" spans="1:16" ht="14.25" customHeight="1">
      <c r="A80" s="325" t="s">
        <v>215</v>
      </c>
      <c r="B80" s="325"/>
      <c r="C80" s="325"/>
      <c r="D80" s="325"/>
      <c r="E80" s="325"/>
      <c r="F80" s="325"/>
      <c r="G80" s="325"/>
      <c r="H80" s="325"/>
      <c r="I80" s="325"/>
      <c r="J80" s="325"/>
    </row>
    <row r="81" spans="1:16" ht="14.2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</row>
    <row r="82" spans="1:16" ht="14.2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</row>
    <row r="83" spans="1:16" ht="14.25" customHeight="1">
      <c r="A83" s="100" t="s">
        <v>182</v>
      </c>
      <c r="B83" s="43">
        <v>2016</v>
      </c>
      <c r="C83" s="43">
        <v>2017</v>
      </c>
      <c r="D83" s="43">
        <v>2018</v>
      </c>
      <c r="E83" s="43">
        <v>2019</v>
      </c>
      <c r="F83" s="43">
        <v>2020</v>
      </c>
      <c r="G83" s="43">
        <v>2021</v>
      </c>
      <c r="H83" s="43">
        <v>2022</v>
      </c>
      <c r="I83" s="43">
        <v>2023</v>
      </c>
      <c r="J83" s="43">
        <v>2024</v>
      </c>
      <c r="K83" s="43">
        <v>2025</v>
      </c>
      <c r="L83" s="43">
        <v>2026</v>
      </c>
      <c r="M83" s="43">
        <v>2027</v>
      </c>
      <c r="N83" s="43">
        <v>2028</v>
      </c>
      <c r="O83" s="43">
        <v>2029</v>
      </c>
      <c r="P83" s="43">
        <v>2030</v>
      </c>
    </row>
    <row r="84" spans="1:16" ht="14.25" customHeight="1">
      <c r="A84" s="101" t="s">
        <v>216</v>
      </c>
      <c r="B84" s="326">
        <f>cashflow!K6</f>
        <v>1209.3499999999999</v>
      </c>
      <c r="C84" s="326">
        <f>cashflow!J6</f>
        <v>1294.3499999999999</v>
      </c>
      <c r="D84" s="326">
        <f>cashflow!I6</f>
        <v>1373.13</v>
      </c>
      <c r="E84" s="326">
        <f>cashflow!H6</f>
        <v>1503.35</v>
      </c>
      <c r="F84" s="326">
        <f>cashflow!G6</f>
        <v>1408.47</v>
      </c>
      <c r="G84" s="326">
        <f>cashflow!F6</f>
        <v>1683.31</v>
      </c>
      <c r="H84" s="326">
        <f>cashflow!E6</f>
        <v>1896.31</v>
      </c>
      <c r="I84" s="326">
        <f>cashflow!D6</f>
        <v>1828.67</v>
      </c>
      <c r="J84" s="326">
        <f>cashflow!C6</f>
        <v>1966.7</v>
      </c>
      <c r="K84" s="326">
        <f>cashflow!B6</f>
        <v>1808.34</v>
      </c>
      <c r="L84" s="328">
        <f>Assumption!L25</f>
        <v>1887.5500183710378</v>
      </c>
      <c r="M84" s="328">
        <f>Assumption!M25</f>
        <v>1967.7080579762501</v>
      </c>
      <c r="N84" s="328">
        <f>Assumption!N25</f>
        <v>2048.3321280991072</v>
      </c>
      <c r="O84" s="328">
        <f>Assumption!O25</f>
        <v>2128.8320456090773</v>
      </c>
      <c r="P84" s="328">
        <f>Assumption!P25</f>
        <v>2208.4911032502973</v>
      </c>
    </row>
    <row r="85" spans="1:16" ht="14.25" customHeight="1">
      <c r="A85" s="101" t="s">
        <v>217</v>
      </c>
      <c r="B85" s="326">
        <f>cashflow!K7</f>
        <v>72.83</v>
      </c>
      <c r="C85" s="326">
        <f>cashflow!J7</f>
        <v>75.430000000000007</v>
      </c>
      <c r="D85" s="326">
        <f>cashflow!I7</f>
        <v>102.5</v>
      </c>
      <c r="E85" s="326">
        <f>cashflow!H7</f>
        <v>108.83</v>
      </c>
      <c r="F85" s="326">
        <f>cashflow!G7</f>
        <v>129.93</v>
      </c>
      <c r="G85" s="326">
        <f>cashflow!F7</f>
        <v>143.4</v>
      </c>
      <c r="H85" s="326">
        <f>cashflow!E7</f>
        <v>160.38999999999999</v>
      </c>
      <c r="I85" s="326">
        <f>cashflow!D7</f>
        <v>188.29</v>
      </c>
      <c r="J85" s="326">
        <f>cashflow!C7</f>
        <v>208.86</v>
      </c>
      <c r="K85" s="326">
        <f>cashflow!B7</f>
        <v>250.93</v>
      </c>
      <c r="L85" s="328">
        <f>Assumption!L23</f>
        <v>288.76430426000104</v>
      </c>
      <c r="M85" s="328">
        <f>Assumption!M23</f>
        <v>332.30312603021736</v>
      </c>
      <c r="N85" s="328">
        <f>Assumption!N23</f>
        <v>382.40657152010181</v>
      </c>
      <c r="O85" s="328">
        <f>Assumption!O23</f>
        <v>440.06443059600093</v>
      </c>
      <c r="P85" s="328">
        <f>Assumption!P23</f>
        <v>506.41573000688521</v>
      </c>
    </row>
    <row r="86" spans="1:16" ht="14.25" customHeight="1">
      <c r="A86" s="102" t="s">
        <v>218</v>
      </c>
      <c r="B86" s="326">
        <f>PL!K19</f>
        <v>10.26</v>
      </c>
      <c r="C86" s="326">
        <f>PL!J19</f>
        <v>16.23</v>
      </c>
      <c r="D86" s="326">
        <f>PL!I19</f>
        <v>21.89</v>
      </c>
      <c r="E86" s="326">
        <f>PL!H19</f>
        <v>29.8</v>
      </c>
      <c r="F86" s="326">
        <f>PL!G19</f>
        <v>19.27</v>
      </c>
      <c r="G86" s="326">
        <f>PL!F19</f>
        <v>9.14</v>
      </c>
      <c r="H86" s="326">
        <f>PL!E19</f>
        <v>18.670000000000002</v>
      </c>
      <c r="I86" s="326">
        <f>PL!D19</f>
        <v>46.37</v>
      </c>
      <c r="J86" s="326">
        <f>PL!C19</f>
        <v>81.14</v>
      </c>
      <c r="K86" s="326">
        <f>PL!B19</f>
        <v>99.58</v>
      </c>
      <c r="L86" s="328">
        <f>Assumption!L19</f>
        <v>142.91223879401483</v>
      </c>
      <c r="M86" s="328">
        <f>Assumption!M19</f>
        <v>205.1005020799108</v>
      </c>
      <c r="N86" s="328">
        <f>Assumption!N19</f>
        <v>294.34998925503663</v>
      </c>
      <c r="O86" s="328">
        <f>Assumption!O19</f>
        <v>422.43639238232072</v>
      </c>
      <c r="P86" s="328">
        <f>Assumption!P19</f>
        <v>606.25959613802343</v>
      </c>
    </row>
    <row r="87" spans="1:16" ht="14.25" customHeight="1">
      <c r="A87" s="101" t="s">
        <v>219</v>
      </c>
      <c r="B87" s="326">
        <f t="shared" ref="B87:P87" si="7">B84+B85+B86</f>
        <v>1292.4399999999998</v>
      </c>
      <c r="C87" s="326">
        <f t="shared" si="7"/>
        <v>1386.01</v>
      </c>
      <c r="D87" s="326">
        <f t="shared" si="7"/>
        <v>1497.5200000000002</v>
      </c>
      <c r="E87" s="326">
        <f t="shared" si="7"/>
        <v>1641.9799999999998</v>
      </c>
      <c r="F87" s="326">
        <f t="shared" si="7"/>
        <v>1557.67</v>
      </c>
      <c r="G87" s="326">
        <f t="shared" si="7"/>
        <v>1835.8500000000001</v>
      </c>
      <c r="H87" s="326">
        <f t="shared" si="7"/>
        <v>2075.37</v>
      </c>
      <c r="I87" s="326">
        <f t="shared" si="7"/>
        <v>2063.33</v>
      </c>
      <c r="J87" s="326">
        <f t="shared" si="7"/>
        <v>2256.6999999999998</v>
      </c>
      <c r="K87" s="326">
        <f t="shared" si="7"/>
        <v>2158.85</v>
      </c>
      <c r="L87" s="328">
        <f t="shared" si="7"/>
        <v>2319.2265614250537</v>
      </c>
      <c r="M87" s="328">
        <f t="shared" si="7"/>
        <v>2505.1116860863781</v>
      </c>
      <c r="N87" s="328">
        <f t="shared" si="7"/>
        <v>2725.0886888742457</v>
      </c>
      <c r="O87" s="328">
        <f t="shared" si="7"/>
        <v>2991.3328685873989</v>
      </c>
      <c r="P87" s="328">
        <f t="shared" si="7"/>
        <v>3321.1664293952058</v>
      </c>
    </row>
    <row r="88" spans="1:16" ht="14.25" customHeight="1">
      <c r="A88" s="101" t="s">
        <v>220</v>
      </c>
      <c r="B88" s="326"/>
      <c r="C88" s="326"/>
      <c r="D88" s="326"/>
      <c r="E88" s="326"/>
      <c r="F88" s="326"/>
      <c r="G88" s="326"/>
      <c r="H88" s="326"/>
      <c r="I88" s="326"/>
      <c r="J88" s="326"/>
      <c r="K88" s="326"/>
      <c r="L88" s="328"/>
      <c r="M88" s="328"/>
      <c r="N88" s="328"/>
      <c r="O88" s="328"/>
      <c r="P88" s="328"/>
    </row>
    <row r="89" spans="1:16" ht="14.25" customHeight="1">
      <c r="A89" s="101" t="s">
        <v>18</v>
      </c>
      <c r="B89" s="326">
        <f>cashflow!K19</f>
        <v>-64.95</v>
      </c>
      <c r="C89" s="326">
        <f>cashflow!J19</f>
        <v>16.28</v>
      </c>
      <c r="D89" s="326">
        <f>cashflow!I19</f>
        <v>-105.52</v>
      </c>
      <c r="E89" s="326">
        <f>cashflow!H19</f>
        <v>-28.1</v>
      </c>
      <c r="F89" s="326">
        <f>cashflow!G19</f>
        <v>-76.239999999999995</v>
      </c>
      <c r="G89" s="326">
        <f>cashflow!F19</f>
        <v>-305.02</v>
      </c>
      <c r="H89" s="326">
        <f>cashflow!E19</f>
        <v>-123.8</v>
      </c>
      <c r="I89" s="326">
        <f>cashflow!D19</f>
        <v>14.19</v>
      </c>
      <c r="J89" s="326">
        <f>cashflow!C19</f>
        <v>73.89</v>
      </c>
      <c r="K89" s="326">
        <f>cashflow!B19</f>
        <v>-138.19</v>
      </c>
      <c r="L89" s="329">
        <f>Assumption!L85</f>
        <v>836.93004431310192</v>
      </c>
      <c r="M89" s="329">
        <f>Assumption!M85</f>
        <v>134.61576536116627</v>
      </c>
      <c r="N89" s="329">
        <f>Assumption!N85</f>
        <v>157.91962323284179</v>
      </c>
      <c r="O89" s="329">
        <f>Assumption!O85</f>
        <v>184.68273203363606</v>
      </c>
      <c r="P89" s="329">
        <f>Assumption!P85</f>
        <v>215.38205618660777</v>
      </c>
    </row>
    <row r="90" spans="1:16" ht="14.25" customHeight="1">
      <c r="A90" s="103" t="s">
        <v>221</v>
      </c>
      <c r="B90" s="326">
        <f>cashflow!K18</f>
        <v>-78.59</v>
      </c>
      <c r="C90" s="326">
        <f>cashflow!J18</f>
        <v>87.43</v>
      </c>
      <c r="D90" s="326">
        <f>cashflow!I18</f>
        <v>10.82</v>
      </c>
      <c r="E90" s="326">
        <f>cashflow!H18</f>
        <v>-112.39</v>
      </c>
      <c r="F90" s="326">
        <f>cashflow!G18</f>
        <v>53.94</v>
      </c>
      <c r="G90" s="326">
        <f>cashflow!F18</f>
        <v>94.27</v>
      </c>
      <c r="H90" s="326">
        <f>cashflow!E18</f>
        <v>-176</v>
      </c>
      <c r="I90" s="326">
        <f>cashflow!D18</f>
        <v>-113.54</v>
      </c>
      <c r="J90" s="326">
        <f>cashflow!C18</f>
        <v>-158.16999999999999</v>
      </c>
      <c r="K90" s="326">
        <f>cashflow!B18</f>
        <v>115.22</v>
      </c>
      <c r="L90" s="328"/>
      <c r="M90" s="328"/>
      <c r="N90" s="328"/>
      <c r="O90" s="328"/>
      <c r="P90" s="328"/>
    </row>
    <row r="91" spans="1:16" ht="14.25" customHeight="1">
      <c r="A91" s="103" t="s">
        <v>222</v>
      </c>
      <c r="B91" s="326">
        <f>cashflow!K21</f>
        <v>0</v>
      </c>
      <c r="C91" s="326">
        <f>cashflow!J21</f>
        <v>-24.96</v>
      </c>
      <c r="D91" s="326">
        <f>cashflow!I21</f>
        <v>-90.17</v>
      </c>
      <c r="E91" s="326">
        <f>cashflow!H21</f>
        <v>67.91</v>
      </c>
      <c r="F91" s="326">
        <f>cashflow!G21</f>
        <v>-52.16</v>
      </c>
      <c r="G91" s="326">
        <f>cashflow!F21</f>
        <v>96.39</v>
      </c>
      <c r="H91" s="326">
        <f>cashflow!E21</f>
        <v>34.369999999999997</v>
      </c>
      <c r="I91" s="326">
        <f>cashflow!D21</f>
        <v>42.95</v>
      </c>
      <c r="J91" s="326">
        <f>cashflow!C21</f>
        <v>-66.58</v>
      </c>
      <c r="K91" s="326">
        <f>cashflow!B21</f>
        <v>-87.93</v>
      </c>
      <c r="L91" s="328"/>
      <c r="M91" s="328"/>
      <c r="N91" s="328"/>
      <c r="O91" s="328"/>
      <c r="P91" s="328"/>
    </row>
    <row r="92" spans="1:16" ht="14.25" customHeight="1">
      <c r="A92" s="103" t="s">
        <v>194</v>
      </c>
      <c r="B92" s="326">
        <f>cashflow!K20</f>
        <v>204.25</v>
      </c>
      <c r="C92" s="326">
        <f>cashflow!J20</f>
        <v>-24.18</v>
      </c>
      <c r="D92" s="326">
        <f>cashflow!I20</f>
        <v>31.57</v>
      </c>
      <c r="E92" s="326">
        <f>cashflow!H20</f>
        <v>37.75</v>
      </c>
      <c r="F92" s="326">
        <f>cashflow!G20</f>
        <v>33.4</v>
      </c>
      <c r="G92" s="326">
        <f>cashflow!F20</f>
        <v>448.92</v>
      </c>
      <c r="H92" s="326">
        <f>cashflow!E20</f>
        <v>100.66</v>
      </c>
      <c r="I92" s="326">
        <f>cashflow!D20</f>
        <v>237.83</v>
      </c>
      <c r="J92" s="326">
        <f>cashflow!C20</f>
        <v>240.2</v>
      </c>
      <c r="K92" s="326">
        <f>cashflow!B20</f>
        <v>282.45</v>
      </c>
      <c r="L92" s="328"/>
      <c r="M92" s="328"/>
      <c r="N92" s="328"/>
      <c r="O92" s="328"/>
      <c r="P92" s="328"/>
    </row>
    <row r="93" spans="1:16" ht="14.25" customHeight="1">
      <c r="A93" s="103" t="s">
        <v>196</v>
      </c>
      <c r="B93" s="326"/>
      <c r="C93" s="326"/>
      <c r="D93" s="326"/>
      <c r="E93" s="326"/>
      <c r="F93" s="326"/>
      <c r="G93" s="326"/>
      <c r="H93" s="326"/>
      <c r="I93" s="326"/>
      <c r="J93" s="326"/>
      <c r="K93" s="326"/>
      <c r="L93" s="328"/>
      <c r="M93" s="328"/>
      <c r="N93" s="328"/>
      <c r="O93" s="328"/>
      <c r="P93" s="328"/>
    </row>
    <row r="94" spans="1:16" ht="14.25" customHeight="1">
      <c r="A94" s="103" t="s">
        <v>223</v>
      </c>
      <c r="B94" s="326">
        <f>cashflow!K22</f>
        <v>60.71</v>
      </c>
      <c r="C94" s="326">
        <f>cashflow!J22</f>
        <v>54.57</v>
      </c>
      <c r="D94" s="326">
        <f>cashflow!I22</f>
        <v>-153.30000000000001</v>
      </c>
      <c r="E94" s="326">
        <f>cashflow!H22</f>
        <v>-34.83</v>
      </c>
      <c r="F94" s="326">
        <f>cashflow!G22</f>
        <v>-41.06</v>
      </c>
      <c r="G94" s="326">
        <f>cashflow!F22</f>
        <v>334.56</v>
      </c>
      <c r="H94" s="326">
        <f>cashflow!E22</f>
        <v>-164.77</v>
      </c>
      <c r="I94" s="326">
        <f>cashflow!D22</f>
        <v>181.43</v>
      </c>
      <c r="J94" s="326">
        <f>cashflow!C22</f>
        <v>89.34</v>
      </c>
      <c r="K94" s="326">
        <f>cashflow!B22</f>
        <v>171.55</v>
      </c>
      <c r="L94" s="328"/>
      <c r="M94" s="328"/>
      <c r="N94" s="328"/>
      <c r="O94" s="328"/>
      <c r="P94" s="328"/>
    </row>
    <row r="95" spans="1:16" ht="14.25" customHeight="1">
      <c r="A95" s="104" t="s">
        <v>224</v>
      </c>
      <c r="B95" s="326">
        <f>cashflow!K25</f>
        <v>-260.73</v>
      </c>
      <c r="C95" s="326">
        <f>cashflow!J25</f>
        <v>-274.5</v>
      </c>
      <c r="D95" s="326">
        <f>cashflow!I25</f>
        <v>-301.07</v>
      </c>
      <c r="E95" s="326">
        <f>cashflow!H25</f>
        <v>-319.56</v>
      </c>
      <c r="F95" s="326">
        <f>cashflow!G25</f>
        <v>-268.94</v>
      </c>
      <c r="G95" s="326">
        <f>cashflow!F25</f>
        <v>-274.60000000000002</v>
      </c>
      <c r="H95" s="326">
        <f>cashflow!E25</f>
        <v>-328.45</v>
      </c>
      <c r="I95" s="326">
        <f>cashflow!D25</f>
        <v>-432.35</v>
      </c>
      <c r="J95" s="326">
        <f>cashflow!C25</f>
        <v>-390.33</v>
      </c>
      <c r="K95" s="326">
        <f>cashflow!B25</f>
        <v>-327.67</v>
      </c>
      <c r="L95" s="328">
        <f>-L27</f>
        <v>0</v>
      </c>
      <c r="M95" s="328">
        <f>-M27</f>
        <v>0</v>
      </c>
      <c r="N95" s="328">
        <f>-N27</f>
        <v>0</v>
      </c>
      <c r="O95" s="328">
        <f>-O27</f>
        <v>0</v>
      </c>
      <c r="P95" s="328">
        <f>-P27</f>
        <v>0</v>
      </c>
    </row>
    <row r="96" spans="1:16" ht="14.25" customHeight="1">
      <c r="A96" s="105" t="s">
        <v>225</v>
      </c>
      <c r="B96" s="326">
        <f>cashflow!K5</f>
        <v>960.3</v>
      </c>
      <c r="C96" s="326">
        <f>cashflow!J5</f>
        <v>926.94</v>
      </c>
      <c r="D96" s="326">
        <f>cashflow!I5</f>
        <v>816.41</v>
      </c>
      <c r="E96" s="327">
        <f>cashflow!H5</f>
        <v>1123.57</v>
      </c>
      <c r="F96" s="327">
        <f>cashflow!G5</f>
        <v>1154.77</v>
      </c>
      <c r="G96" s="327">
        <f>cashflow!F5</f>
        <v>1704.17</v>
      </c>
      <c r="H96" s="327">
        <f>cashflow!E5</f>
        <v>1319.95</v>
      </c>
      <c r="I96" s="327">
        <f>cashflow!D5</f>
        <v>1561.91</v>
      </c>
      <c r="J96" s="327">
        <f>cashflow!C5</f>
        <v>1653.33</v>
      </c>
      <c r="K96" s="327">
        <f>cashflow!B5</f>
        <v>1622.97</v>
      </c>
      <c r="L96" s="328">
        <f>L87+L89+L90+L91+L92+L93+L95</f>
        <v>3156.1566057381556</v>
      </c>
      <c r="M96" s="328">
        <f>M87+M89+M90+M91+M92+M93+M95</f>
        <v>2639.7274514475444</v>
      </c>
      <c r="N96" s="328">
        <f>N87+N89+N90+N91+N92+N93+N95</f>
        <v>2883.0083121070875</v>
      </c>
      <c r="O96" s="328">
        <f>O87+O89+O90+O91+O92+O93+O95</f>
        <v>3176.015600621035</v>
      </c>
      <c r="P96" s="328">
        <f>P87+P89+P90+P91+P92+P93+P95</f>
        <v>3536.5484855818136</v>
      </c>
    </row>
    <row r="97" spans="1:16" ht="14.25" customHeight="1">
      <c r="A97" s="101"/>
      <c r="B97" s="326"/>
      <c r="C97" s="326"/>
      <c r="D97" s="326"/>
      <c r="E97" s="326"/>
      <c r="F97" s="326"/>
      <c r="G97" s="326"/>
      <c r="H97" s="326"/>
      <c r="I97" s="326"/>
      <c r="J97" s="326"/>
      <c r="K97" s="326"/>
      <c r="L97" s="328"/>
      <c r="M97" s="328"/>
      <c r="N97" s="328"/>
      <c r="O97" s="328"/>
      <c r="P97" s="328"/>
    </row>
    <row r="98" spans="1:16" ht="14.25" customHeight="1">
      <c r="A98" s="104" t="s">
        <v>226</v>
      </c>
      <c r="B98" s="326">
        <f>cashflow!K31</f>
        <v>-106.84</v>
      </c>
      <c r="C98" s="326">
        <f>cashflow!J31</f>
        <v>-411.12</v>
      </c>
      <c r="D98" s="326">
        <f>cashflow!I31</f>
        <v>-110.74</v>
      </c>
      <c r="E98" s="326">
        <f>cashflow!H31</f>
        <v>-125.28</v>
      </c>
      <c r="F98" s="326">
        <f>cashflow!G31</f>
        <v>-264.54000000000002</v>
      </c>
      <c r="G98" s="326">
        <f>cashflow!F31</f>
        <v>-249.9</v>
      </c>
      <c r="H98" s="326">
        <f>cashflow!E31</f>
        <v>-296.77</v>
      </c>
      <c r="I98" s="326">
        <f>cashflow!D31</f>
        <v>-410.05</v>
      </c>
      <c r="J98" s="326">
        <f>cashflow!C31</f>
        <v>-456.55</v>
      </c>
      <c r="K98" s="326">
        <f>cashflow!B31</f>
        <v>-351.78</v>
      </c>
      <c r="L98" s="328"/>
      <c r="M98" s="328"/>
      <c r="N98" s="328"/>
      <c r="O98" s="328"/>
      <c r="P98" s="328"/>
    </row>
    <row r="99" spans="1:16" ht="14.25" customHeight="1">
      <c r="A99" s="105" t="s">
        <v>227</v>
      </c>
      <c r="B99" s="326">
        <f>cashflow!K30</f>
        <v>-494.33</v>
      </c>
      <c r="C99" s="326">
        <f>cashflow!J30</f>
        <v>-678.94</v>
      </c>
      <c r="D99" s="326">
        <f>cashflow!I30</f>
        <v>-261.18</v>
      </c>
      <c r="E99" s="326">
        <f>cashflow!H30</f>
        <v>417.78</v>
      </c>
      <c r="F99" s="326">
        <f>cashflow!G30</f>
        <v>-330.28</v>
      </c>
      <c r="G99" s="327">
        <f>cashflow!F30</f>
        <v>-1120.3699999999999</v>
      </c>
      <c r="H99" s="326">
        <f>cashflow!E30</f>
        <v>-681.7</v>
      </c>
      <c r="I99" s="326">
        <f>cashflow!D30</f>
        <v>-617.20000000000005</v>
      </c>
      <c r="J99" s="326">
        <f>cashflow!C30</f>
        <v>-736.09</v>
      </c>
      <c r="K99" s="326">
        <f>cashflow!B30</f>
        <v>-98.9</v>
      </c>
      <c r="L99" s="328"/>
      <c r="M99" s="328"/>
      <c r="N99" s="328"/>
      <c r="O99" s="328"/>
      <c r="P99" s="328"/>
    </row>
    <row r="100" spans="1:16" ht="14.25" customHeight="1">
      <c r="A100" s="101"/>
      <c r="B100" s="326"/>
      <c r="C100" s="326"/>
      <c r="D100" s="326"/>
      <c r="E100" s="326"/>
      <c r="F100" s="326"/>
      <c r="G100" s="326"/>
      <c r="H100" s="326"/>
      <c r="I100" s="326"/>
      <c r="J100" s="326"/>
      <c r="K100" s="326"/>
      <c r="L100" s="328"/>
      <c r="M100" s="328"/>
      <c r="N100" s="328"/>
      <c r="O100" s="328"/>
      <c r="P100" s="328"/>
    </row>
    <row r="101" spans="1:16" ht="14.25" customHeight="1">
      <c r="A101" s="103" t="s">
        <v>228</v>
      </c>
      <c r="B101" s="326">
        <f>PL!K19</f>
        <v>10.26</v>
      </c>
      <c r="C101" s="326">
        <f>PL!J19</f>
        <v>16.23</v>
      </c>
      <c r="D101" s="326">
        <f>PL!I19</f>
        <v>21.89</v>
      </c>
      <c r="E101" s="326">
        <f>PL!H19</f>
        <v>29.8</v>
      </c>
      <c r="F101" s="326">
        <f>PL!G19</f>
        <v>19.27</v>
      </c>
      <c r="G101" s="326">
        <f>PL!F19</f>
        <v>9.14</v>
      </c>
      <c r="H101" s="326">
        <f>PL!E19</f>
        <v>18.670000000000002</v>
      </c>
      <c r="I101" s="326">
        <f>PL!D19</f>
        <v>46.37</v>
      </c>
      <c r="J101" s="326">
        <f>PL!C19</f>
        <v>81.14</v>
      </c>
      <c r="K101" s="326">
        <f>PL!B19</f>
        <v>99.58</v>
      </c>
      <c r="L101" s="328">
        <f>Assumption!L19</f>
        <v>142.91223879401483</v>
      </c>
      <c r="M101" s="328">
        <f>Assumption!M19</f>
        <v>205.1005020799108</v>
      </c>
      <c r="N101" s="328">
        <f>Assumption!N19</f>
        <v>294.34998925503663</v>
      </c>
      <c r="O101" s="328">
        <f>Assumption!O19</f>
        <v>422.43639238232072</v>
      </c>
      <c r="P101" s="328">
        <f>Assumption!P19</f>
        <v>606.25959613802343</v>
      </c>
    </row>
    <row r="102" spans="1:16" ht="14.25" customHeight="1">
      <c r="A102" s="103" t="s">
        <v>50</v>
      </c>
      <c r="B102" s="326">
        <f>cashflow!K55</f>
        <v>-351.12</v>
      </c>
      <c r="C102" s="326">
        <f>cashflow!J55</f>
        <v>-396.34</v>
      </c>
      <c r="D102" s="326">
        <f>cashflow!I55</f>
        <v>-396.34</v>
      </c>
      <c r="E102" s="326">
        <f>cashflow!H55</f>
        <v>-1324.71</v>
      </c>
      <c r="F102" s="326">
        <f>cashflow!G55</f>
        <v>-512.45000000000005</v>
      </c>
      <c r="G102" s="326">
        <f>cashflow!F55</f>
        <v>-592.09</v>
      </c>
      <c r="H102" s="326">
        <f>cashflow!E55</f>
        <v>-972.32</v>
      </c>
      <c r="I102" s="326">
        <f>cashflow!D55</f>
        <v>-921.31</v>
      </c>
      <c r="J102" s="326">
        <f>cashflow!C55</f>
        <v>-965.76</v>
      </c>
      <c r="K102" s="326">
        <f>cashflow!B55</f>
        <v>-974.78</v>
      </c>
      <c r="L102" s="328">
        <f>Assumption!L34</f>
        <v>0</v>
      </c>
      <c r="M102" s="328">
        <f>Assumption!M34</f>
        <v>0</v>
      </c>
      <c r="N102" s="328">
        <f>Assumption!N34</f>
        <v>0</v>
      </c>
      <c r="O102" s="328">
        <f>Assumption!O34</f>
        <v>0</v>
      </c>
      <c r="P102" s="328">
        <f>Assumption!P34</f>
        <v>0</v>
      </c>
    </row>
    <row r="103" spans="1:16" ht="14.25" customHeight="1">
      <c r="A103" s="105" t="s">
        <v>229</v>
      </c>
      <c r="B103" s="326">
        <f>cashflow!K46</f>
        <v>-455.04</v>
      </c>
      <c r="C103" s="326">
        <f>cashflow!J46</f>
        <v>-273.66000000000003</v>
      </c>
      <c r="D103" s="326">
        <f>cashflow!I46</f>
        <v>-496.18</v>
      </c>
      <c r="E103" s="327">
        <f>cashflow!H46</f>
        <v>-1619.39</v>
      </c>
      <c r="F103" s="326">
        <f>cashflow!G46</f>
        <v>-826</v>
      </c>
      <c r="G103" s="326">
        <f>cashflow!F46</f>
        <v>-555.04</v>
      </c>
      <c r="H103" s="326">
        <f>cashflow!E46</f>
        <v>-634.79</v>
      </c>
      <c r="I103" s="326">
        <f>cashflow!D46</f>
        <v>-939.83</v>
      </c>
      <c r="J103" s="326">
        <f>cashflow!C46</f>
        <v>-921.82</v>
      </c>
      <c r="K103" s="327">
        <f>cashflow!B46</f>
        <v>-1510.68</v>
      </c>
      <c r="L103" s="328">
        <f>-L101-L102</f>
        <v>-142.91223879401483</v>
      </c>
      <c r="M103" s="328">
        <f>-M101-M102</f>
        <v>-205.1005020799108</v>
      </c>
      <c r="N103" s="328">
        <f>-N101-N102</f>
        <v>-294.34998925503663</v>
      </c>
      <c r="O103" s="328">
        <f>-O101-O102</f>
        <v>-422.43639238232072</v>
      </c>
      <c r="P103" s="328">
        <f>-P101-P102</f>
        <v>-606.25959613802343</v>
      </c>
    </row>
    <row r="104" spans="1:16" ht="14.25" customHeight="1">
      <c r="A104" s="101"/>
      <c r="B104" s="326"/>
      <c r="C104" s="326"/>
      <c r="D104" s="326"/>
      <c r="E104" s="326"/>
      <c r="F104" s="326"/>
      <c r="G104" s="326"/>
      <c r="H104" s="326"/>
      <c r="I104" s="326"/>
      <c r="J104" s="326"/>
      <c r="K104" s="326"/>
      <c r="L104" s="328"/>
      <c r="M104" s="328"/>
      <c r="N104" s="328"/>
      <c r="O104" s="328"/>
      <c r="P104" s="328"/>
    </row>
    <row r="105" spans="1:16" ht="14.25" customHeight="1">
      <c r="A105" s="103" t="s">
        <v>230</v>
      </c>
      <c r="B105" s="326">
        <f>cashflow!K59</f>
        <v>10.93</v>
      </c>
      <c r="C105" s="326">
        <f>cashflow!J59</f>
        <v>-25.66</v>
      </c>
      <c r="D105" s="326">
        <f>cashflow!I59</f>
        <v>59.05</v>
      </c>
      <c r="E105" s="326">
        <f>cashflow!H59</f>
        <v>-78.040000000000006</v>
      </c>
      <c r="F105" s="326">
        <f>cashflow!G59</f>
        <v>-1.51</v>
      </c>
      <c r="G105" s="326">
        <f>cashflow!F59</f>
        <v>28.76</v>
      </c>
      <c r="H105" s="326">
        <f>cashflow!E59</f>
        <v>3.46</v>
      </c>
      <c r="I105" s="326">
        <f>cashflow!D59</f>
        <v>4.88</v>
      </c>
      <c r="J105" s="326">
        <f>cashflow!C59</f>
        <v>-4.58</v>
      </c>
      <c r="K105" s="326">
        <f>cashflow!B59</f>
        <v>13.39</v>
      </c>
      <c r="L105" s="328">
        <f>L96+L99+L103</f>
        <v>3013.2443669441409</v>
      </c>
      <c r="M105" s="328">
        <f>M96+M99+M103</f>
        <v>2434.6269493676336</v>
      </c>
      <c r="N105" s="328">
        <f>N96+N99+N103</f>
        <v>2588.6583228520508</v>
      </c>
      <c r="O105" s="328">
        <f>O96+O99+O103</f>
        <v>2753.5792082387143</v>
      </c>
      <c r="P105" s="328">
        <f>P96+P99+P103</f>
        <v>2930.2888894437901</v>
      </c>
    </row>
    <row r="106" spans="1:16" ht="14.25" customHeight="1">
      <c r="A106" s="103" t="s">
        <v>231</v>
      </c>
      <c r="B106" s="326">
        <f>cashflow!K4</f>
        <v>13.49</v>
      </c>
      <c r="C106" s="326">
        <f>cashflow!J4</f>
        <v>24.41</v>
      </c>
      <c r="D106" s="326">
        <f>cashflow!I4</f>
        <v>-1.25</v>
      </c>
      <c r="E106" s="326">
        <f>cashflow!H4</f>
        <v>57.8</v>
      </c>
      <c r="F106" s="326">
        <f>cashflow!G4</f>
        <v>-20.239999999999998</v>
      </c>
      <c r="G106" s="326">
        <f>cashflow!F4</f>
        <v>-21.75</v>
      </c>
      <c r="H106" s="326">
        <f>cashflow!E4</f>
        <v>7.01</v>
      </c>
      <c r="I106" s="326">
        <f>cashflow!D4</f>
        <v>10.47</v>
      </c>
      <c r="J106" s="326">
        <f>cashflow!C4</f>
        <v>15.35</v>
      </c>
      <c r="K106" s="326">
        <f>cashflow!B4</f>
        <v>10.77</v>
      </c>
      <c r="L106" s="328">
        <f>K107</f>
        <v>24.16</v>
      </c>
      <c r="M106" s="328">
        <f>L107</f>
        <v>3037.4043669441407</v>
      </c>
      <c r="N106" s="328">
        <f>M107</f>
        <v>5472.0313163117744</v>
      </c>
      <c r="O106" s="328">
        <f>N107</f>
        <v>8060.6896391638256</v>
      </c>
      <c r="P106" s="328">
        <f>O107</f>
        <v>10814.26884740254</v>
      </c>
    </row>
    <row r="107" spans="1:16" ht="15" customHeight="1">
      <c r="A107" s="94" t="s">
        <v>232</v>
      </c>
      <c r="B107" s="326">
        <f>cashflow!K60</f>
        <v>24.42</v>
      </c>
      <c r="C107" s="326">
        <f>cashflow!J60</f>
        <v>-1.25</v>
      </c>
      <c r="D107" s="326">
        <f>cashflow!I60</f>
        <v>57.8</v>
      </c>
      <c r="E107" s="326">
        <f>cashflow!H60</f>
        <v>-20.239999999999998</v>
      </c>
      <c r="F107" s="326">
        <f>cashflow!G60</f>
        <v>-21.75</v>
      </c>
      <c r="G107" s="326">
        <f>cashflow!F60</f>
        <v>7.01</v>
      </c>
      <c r="H107" s="326">
        <f>cashflow!E60</f>
        <v>10.47</v>
      </c>
      <c r="I107" s="326">
        <f>cashflow!D60</f>
        <v>15.35</v>
      </c>
      <c r="J107" s="326">
        <f>cashflow!C60</f>
        <v>10.77</v>
      </c>
      <c r="K107" s="326">
        <f>cashflow!B60</f>
        <v>24.16</v>
      </c>
      <c r="L107" s="328">
        <f>L105+L106</f>
        <v>3037.4043669441407</v>
      </c>
      <c r="M107" s="328">
        <f>M105+M106</f>
        <v>5472.0313163117744</v>
      </c>
      <c r="N107" s="328">
        <f>N105+N106</f>
        <v>8060.6896391638256</v>
      </c>
      <c r="O107" s="328">
        <f>O105+O106</f>
        <v>10814.26884740254</v>
      </c>
      <c r="P107" s="328">
        <f>P105+P106</f>
        <v>13744.557736846331</v>
      </c>
    </row>
    <row r="108" spans="1:16" ht="15" customHeight="1"/>
    <row r="109" spans="1:16" ht="14.25" customHeight="1">
      <c r="A109" s="13" t="s">
        <v>233</v>
      </c>
      <c r="B109" s="13">
        <f t="shared" ref="B109:P109" si="8">B78-B56</f>
        <v>0</v>
      </c>
      <c r="C109" s="13">
        <f t="shared" si="8"/>
        <v>0</v>
      </c>
      <c r="D109" s="13">
        <f t="shared" si="8"/>
        <v>0</v>
      </c>
      <c r="E109" s="13">
        <f t="shared" si="8"/>
        <v>0</v>
      </c>
      <c r="F109" s="13">
        <f t="shared" si="8"/>
        <v>0</v>
      </c>
      <c r="G109" s="13">
        <f t="shared" si="8"/>
        <v>0</v>
      </c>
      <c r="H109" s="13">
        <f t="shared" si="8"/>
        <v>0</v>
      </c>
      <c r="I109" s="13">
        <f t="shared" si="8"/>
        <v>0</v>
      </c>
      <c r="J109" s="13">
        <f t="shared" si="8"/>
        <v>0</v>
      </c>
      <c r="K109" s="13">
        <f t="shared" si="8"/>
        <v>0</v>
      </c>
      <c r="L109" s="13">
        <f t="shared" si="8"/>
        <v>0</v>
      </c>
      <c r="M109" s="13">
        <f t="shared" si="8"/>
        <v>0</v>
      </c>
      <c r="N109" s="13">
        <f t="shared" si="8"/>
        <v>0</v>
      </c>
      <c r="O109" s="13">
        <f t="shared" si="8"/>
        <v>0</v>
      </c>
      <c r="P109" s="13">
        <f t="shared" si="8"/>
        <v>0</v>
      </c>
    </row>
  </sheetData>
  <mergeCells count="5">
    <mergeCell ref="B1:F1"/>
    <mergeCell ref="G1:K1"/>
    <mergeCell ref="A5:A6"/>
    <mergeCell ref="A80:J82"/>
    <mergeCell ref="A35:E3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114" zoomScaleNormal="114" workbookViewId="0">
      <selection activeCell="D10" sqref="D10"/>
    </sheetView>
  </sheetViews>
  <sheetFormatPr defaultColWidth="8.6640625" defaultRowHeight="14.4"/>
  <cols>
    <col min="1" max="1" width="18.77734375" customWidth="1"/>
    <col min="12" max="12" width="10.6640625" customWidth="1"/>
  </cols>
  <sheetData>
    <row r="1" spans="1:16" ht="14.25" customHeight="1">
      <c r="A1" s="106" t="s">
        <v>234</v>
      </c>
      <c r="B1" s="4" t="s">
        <v>157</v>
      </c>
      <c r="C1" s="4"/>
      <c r="D1" s="4"/>
      <c r="E1" s="4"/>
      <c r="F1" s="4"/>
      <c r="G1" s="4"/>
      <c r="H1" s="4"/>
      <c r="I1" s="4"/>
      <c r="J1" s="4"/>
      <c r="K1" s="4"/>
      <c r="L1" s="3" t="s">
        <v>158</v>
      </c>
      <c r="M1" s="3"/>
      <c r="N1" s="3"/>
      <c r="O1" s="3"/>
      <c r="P1" s="3"/>
    </row>
    <row r="2" spans="1:16" ht="15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P2" s="41"/>
    </row>
    <row r="3" spans="1:16" ht="24" customHeight="1">
      <c r="A3" s="109" t="s">
        <v>182</v>
      </c>
      <c r="B3" s="43">
        <v>2016</v>
      </c>
      <c r="C3" s="43">
        <v>2017</v>
      </c>
      <c r="D3" s="43">
        <v>2018</v>
      </c>
      <c r="E3" s="43">
        <v>2019</v>
      </c>
      <c r="F3" s="43">
        <v>2020</v>
      </c>
      <c r="G3" s="43">
        <v>2021</v>
      </c>
      <c r="H3" s="43">
        <v>2022</v>
      </c>
      <c r="I3" s="43">
        <v>2023</v>
      </c>
      <c r="J3" s="43">
        <v>2024</v>
      </c>
      <c r="K3" s="43">
        <v>2025</v>
      </c>
      <c r="L3" s="43">
        <v>2026</v>
      </c>
      <c r="M3" s="43">
        <v>2027</v>
      </c>
      <c r="N3" s="43">
        <v>2028</v>
      </c>
      <c r="O3" s="43">
        <v>2029</v>
      </c>
      <c r="P3" s="58">
        <v>2030</v>
      </c>
    </row>
    <row r="4" spans="1:16" ht="14.25" customHeight="1">
      <c r="A4" s="110" t="s">
        <v>235</v>
      </c>
      <c r="B4" s="111">
        <f>Assumption!B5</f>
        <v>5422.57</v>
      </c>
      <c r="C4" s="111">
        <f>Assumption!C5</f>
        <v>5369.84</v>
      </c>
      <c r="D4" s="111">
        <f>Assumption!D5</f>
        <v>5609.06</v>
      </c>
      <c r="E4" s="111">
        <f>Assumption!E5</f>
        <v>6273.19</v>
      </c>
      <c r="F4" s="111">
        <f>Assumption!F5</f>
        <v>6309.8</v>
      </c>
      <c r="G4" s="111">
        <f>Assumption!G5</f>
        <v>7184.73</v>
      </c>
      <c r="H4" s="111">
        <f>Assumption!H5</f>
        <v>8179.5</v>
      </c>
      <c r="I4" s="111">
        <f>Assumption!I5</f>
        <v>8684.35</v>
      </c>
      <c r="J4" s="111">
        <f>Assumption!J5</f>
        <v>9135.6</v>
      </c>
      <c r="K4" s="111">
        <f>Assumption!K5</f>
        <v>9070.7099999999991</v>
      </c>
      <c r="L4">
        <f>Assumption!L5</f>
        <v>9609.8811362369797</v>
      </c>
      <c r="M4">
        <f>Assumption!M5</f>
        <v>10181.10108829445</v>
      </c>
      <c r="N4">
        <f>Assumption!N5</f>
        <v>10786.274866523418</v>
      </c>
      <c r="O4">
        <f>Assumption!O5</f>
        <v>11427.420716798402</v>
      </c>
      <c r="P4" s="41">
        <f>Assumption!P5</f>
        <v>12106.6768513385</v>
      </c>
    </row>
    <row r="5" spans="1:16" ht="14.25" customHeight="1">
      <c r="A5" s="110" t="s">
        <v>236</v>
      </c>
      <c r="B5" s="111"/>
      <c r="C5" s="111">
        <f>Bal.sheet!B18</f>
        <v>638.80999999999995</v>
      </c>
      <c r="D5" s="111">
        <f>Bal.sheet!C18</f>
        <v>993.33</v>
      </c>
      <c r="E5" s="111">
        <f>Bal.sheet!D18</f>
        <v>1030.48</v>
      </c>
      <c r="F5" s="111">
        <f>Bal.sheet!E18</f>
        <v>1036.6199999999999</v>
      </c>
      <c r="G5" s="111">
        <f>Bal.sheet!F18</f>
        <v>1134.28</v>
      </c>
      <c r="H5" s="111">
        <f>Bal.sheet!G18</f>
        <v>1204.81</v>
      </c>
      <c r="I5" s="111">
        <f>Bal.sheet!H18</f>
        <v>1399</v>
      </c>
      <c r="J5" s="111">
        <f>Bal.sheet!I18</f>
        <v>1661.97</v>
      </c>
      <c r="K5" s="112">
        <f>Bal.sheet!J18</f>
        <v>1878.2</v>
      </c>
      <c r="L5" s="113">
        <f>K10</f>
        <v>2035.62</v>
      </c>
      <c r="M5">
        <f>L10</f>
        <v>2116.7793985709791</v>
      </c>
      <c r="N5">
        <f>M10</f>
        <v>2176.3885719839559</v>
      </c>
      <c r="O5">
        <f>N10</f>
        <v>2209.1899184193844</v>
      </c>
      <c r="P5" s="41">
        <f>O10</f>
        <v>2209.0137367451421</v>
      </c>
    </row>
    <row r="6" spans="1:16" ht="14.25" customHeight="1">
      <c r="A6" s="110" t="s">
        <v>226</v>
      </c>
      <c r="B6" s="111">
        <f>-cashflow!K31</f>
        <v>106.84</v>
      </c>
      <c r="C6" s="111">
        <f>-cashflow!J31</f>
        <v>411.12</v>
      </c>
      <c r="D6" s="111">
        <f>-cashflow!I31</f>
        <v>110.74</v>
      </c>
      <c r="E6" s="111">
        <f>-cashflow!H31</f>
        <v>125.28</v>
      </c>
      <c r="F6" s="111">
        <f>-cashflow!G31</f>
        <v>264.54000000000002</v>
      </c>
      <c r="G6" s="111">
        <f>-cashflow!F31</f>
        <v>249.9</v>
      </c>
      <c r="H6" s="111">
        <f>-cashflow!E31</f>
        <v>296.77</v>
      </c>
      <c r="I6" s="111">
        <f>-cashflow!D31</f>
        <v>410.05</v>
      </c>
      <c r="J6" s="111">
        <f>-cashflow!C31</f>
        <v>456.55</v>
      </c>
      <c r="K6" s="111">
        <f>-cashflow!B31</f>
        <v>351.78</v>
      </c>
      <c r="L6">
        <f>L4*L7</f>
        <v>369.92370283098052</v>
      </c>
      <c r="M6">
        <f>M4*M7</f>
        <v>391.912299443194</v>
      </c>
      <c r="N6">
        <f>N4*N7</f>
        <v>415.20791795553032</v>
      </c>
      <c r="O6">
        <f>O4*O7</f>
        <v>439.8882489217583</v>
      </c>
      <c r="P6" s="41">
        <f>P4*P7</f>
        <v>466.03560089182906</v>
      </c>
    </row>
    <row r="7" spans="1:16" ht="14.25" customHeight="1">
      <c r="A7" s="110" t="s">
        <v>237</v>
      </c>
      <c r="B7" s="114">
        <f t="shared" ref="B7:K7" si="0">IF(B4=0,0,B6/B4)</f>
        <v>1.9702834633762222E-2</v>
      </c>
      <c r="C7" s="114">
        <f t="shared" si="0"/>
        <v>7.65609403632138E-2</v>
      </c>
      <c r="D7" s="114">
        <f t="shared" si="0"/>
        <v>1.9743058551700284E-2</v>
      </c>
      <c r="E7" s="114">
        <f t="shared" si="0"/>
        <v>1.9970700712077908E-2</v>
      </c>
      <c r="F7" s="114">
        <f t="shared" si="0"/>
        <v>4.1925259120732833E-2</v>
      </c>
      <c r="G7" s="114">
        <f t="shared" si="0"/>
        <v>3.4782100371203932E-2</v>
      </c>
      <c r="H7" s="114">
        <f t="shared" si="0"/>
        <v>3.6282168836725956E-2</v>
      </c>
      <c r="I7" s="114">
        <f t="shared" si="0"/>
        <v>4.7217120452307887E-2</v>
      </c>
      <c r="J7" s="114">
        <f t="shared" si="0"/>
        <v>4.997482376636455E-2</v>
      </c>
      <c r="K7" s="114">
        <f t="shared" si="0"/>
        <v>3.8781969658383965E-2</v>
      </c>
      <c r="L7" s="31">
        <f>AVERAGE($B$7:$K$7)</f>
        <v>3.8494097646647331E-2</v>
      </c>
      <c r="M7" s="31">
        <f>AVERAGE($B$7:$K$7)</f>
        <v>3.8494097646647331E-2</v>
      </c>
      <c r="N7" s="31">
        <f>AVERAGE($B$7:$K$7)</f>
        <v>3.8494097646647331E-2</v>
      </c>
      <c r="O7" s="31">
        <f>AVERAGE($B$7:$K$7)</f>
        <v>3.8494097646647331E-2</v>
      </c>
      <c r="P7" s="115">
        <f>AVERAGE($B$7:$K$7)</f>
        <v>3.8494097646647331E-2</v>
      </c>
    </row>
    <row r="8" spans="1:16" ht="14.25" customHeight="1">
      <c r="A8" s="110" t="s">
        <v>6</v>
      </c>
      <c r="B8" s="111">
        <f>PL!K21</f>
        <v>72.83</v>
      </c>
      <c r="C8" s="111">
        <f>PL!J21</f>
        <v>75.430000000000007</v>
      </c>
      <c r="D8" s="111">
        <f>PL!I21</f>
        <v>102.5</v>
      </c>
      <c r="E8" s="111">
        <f>PL!H21</f>
        <v>108.83</v>
      </c>
      <c r="F8" s="111">
        <f>PL!G21</f>
        <v>129.93</v>
      </c>
      <c r="G8" s="111">
        <f>PL!F21</f>
        <v>143.4</v>
      </c>
      <c r="H8" s="111">
        <f>PL!E21</f>
        <v>160.38999999999999</v>
      </c>
      <c r="I8" s="111">
        <f>PL!D21</f>
        <v>188.29</v>
      </c>
      <c r="J8" s="111">
        <f>PL!C21</f>
        <v>208.86</v>
      </c>
      <c r="K8" s="111">
        <f>PL!B21</f>
        <v>250.93</v>
      </c>
      <c r="L8">
        <f>Assumption!L23</f>
        <v>288.76430426000104</v>
      </c>
      <c r="M8">
        <f>Assumption!M23</f>
        <v>332.30312603021736</v>
      </c>
      <c r="N8">
        <f>Assumption!N23</f>
        <v>382.40657152010181</v>
      </c>
      <c r="O8">
        <f>Assumption!O23</f>
        <v>440.06443059600093</v>
      </c>
      <c r="P8" s="41">
        <f>Assumption!P23</f>
        <v>506.41573000688521</v>
      </c>
    </row>
    <row r="9" spans="1:16" ht="14.25" customHeight="1">
      <c r="A9" s="110" t="s">
        <v>238</v>
      </c>
      <c r="B9" s="111">
        <f t="shared" ref="B9:P9" si="1">IF(B5=0,0,B8/B5)</f>
        <v>0</v>
      </c>
      <c r="C9" s="116">
        <f t="shared" si="1"/>
        <v>0.11807892800676259</v>
      </c>
      <c r="D9" s="116">
        <f t="shared" si="1"/>
        <v>0.10318826573243534</v>
      </c>
      <c r="E9" s="116">
        <f t="shared" si="1"/>
        <v>0.10561097740858628</v>
      </c>
      <c r="F9" s="116">
        <f t="shared" si="1"/>
        <v>0.12534004746194363</v>
      </c>
      <c r="G9" s="116">
        <f t="shared" si="1"/>
        <v>0.12642381069929823</v>
      </c>
      <c r="H9" s="116">
        <f t="shared" si="1"/>
        <v>0.13312472506038295</v>
      </c>
      <c r="I9" s="116">
        <f t="shared" si="1"/>
        <v>0.13458899213724088</v>
      </c>
      <c r="J9" s="116">
        <f t="shared" si="1"/>
        <v>0.12567013845015254</v>
      </c>
      <c r="K9" s="117">
        <f t="shared" si="1"/>
        <v>0.13360132041316153</v>
      </c>
      <c r="L9">
        <f t="shared" si="1"/>
        <v>0.14185570207602649</v>
      </c>
      <c r="M9">
        <f t="shared" si="1"/>
        <v>0.15698524194564278</v>
      </c>
      <c r="N9">
        <f t="shared" si="1"/>
        <v>0.17570693783394892</v>
      </c>
      <c r="O9">
        <f t="shared" si="1"/>
        <v>0.1991971930194463</v>
      </c>
      <c r="P9" s="41">
        <f t="shared" si="1"/>
        <v>0.22924969708565979</v>
      </c>
    </row>
    <row r="10" spans="1:16" ht="15" customHeight="1">
      <c r="A10" s="118" t="s">
        <v>239</v>
      </c>
      <c r="B10" s="119">
        <f>Bal.sheet!B18</f>
        <v>638.80999999999995</v>
      </c>
      <c r="C10" s="119">
        <f>Bal.sheet!C18</f>
        <v>993.33</v>
      </c>
      <c r="D10" s="119">
        <f>Bal.sheet!D18</f>
        <v>1030.48</v>
      </c>
      <c r="E10" s="119">
        <f>Bal.sheet!E18</f>
        <v>1036.6199999999999</v>
      </c>
      <c r="F10" s="119">
        <f>Bal.sheet!F18</f>
        <v>1134.28</v>
      </c>
      <c r="G10" s="119">
        <f>Bal.sheet!G18</f>
        <v>1204.81</v>
      </c>
      <c r="H10" s="119">
        <f>Bal.sheet!H18</f>
        <v>1399</v>
      </c>
      <c r="I10" s="119">
        <f>Bal.sheet!I18</f>
        <v>1661.97</v>
      </c>
      <c r="J10" s="119">
        <f>Bal.sheet!J18</f>
        <v>1878.2</v>
      </c>
      <c r="K10" s="120">
        <f>Bal.sheet!K18</f>
        <v>2035.62</v>
      </c>
      <c r="L10" s="121">
        <f>L5+L6-L8</f>
        <v>2116.7793985709791</v>
      </c>
      <c r="M10" s="121">
        <f>M5+M6-M8</f>
        <v>2176.3885719839559</v>
      </c>
      <c r="N10" s="121">
        <f>N5+N6-N8</f>
        <v>2209.1899184193844</v>
      </c>
      <c r="O10" s="121">
        <f>O5+O6-O8</f>
        <v>2209.0137367451421</v>
      </c>
      <c r="P10" s="122">
        <f>P5+P6-P8</f>
        <v>2168.6336076300863</v>
      </c>
    </row>
  </sheetData>
  <mergeCells count="2">
    <mergeCell ref="B1:K1"/>
    <mergeCell ref="L1:P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zoomScale="93" zoomScaleNormal="93" workbookViewId="0">
      <selection activeCell="Q13" sqref="Q13"/>
    </sheetView>
  </sheetViews>
  <sheetFormatPr defaultColWidth="8.6640625" defaultRowHeight="14.4"/>
  <cols>
    <col min="1" max="1" width="21.5546875" style="123" customWidth="1"/>
    <col min="8" max="11" width="10.5546875" customWidth="1"/>
  </cols>
  <sheetData>
    <row r="1" spans="1:13" ht="18" customHeight="1">
      <c r="A1" s="124" t="s">
        <v>240</v>
      </c>
      <c r="B1" s="125">
        <v>2016</v>
      </c>
      <c r="C1" s="125">
        <v>2017</v>
      </c>
      <c r="D1" s="125">
        <v>2018</v>
      </c>
      <c r="E1" s="125">
        <v>2019</v>
      </c>
      <c r="F1" s="125">
        <v>2020</v>
      </c>
      <c r="G1" s="125">
        <v>2021</v>
      </c>
      <c r="H1" s="125">
        <v>2022</v>
      </c>
      <c r="I1" s="125">
        <v>2023</v>
      </c>
      <c r="J1" s="125">
        <v>2024</v>
      </c>
      <c r="K1" s="126">
        <v>2025</v>
      </c>
      <c r="L1" s="127"/>
      <c r="M1" s="128"/>
    </row>
    <row r="2" spans="1:13" ht="15" customHeight="1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3" ht="14.25" customHeight="1">
      <c r="A3" s="129" t="s">
        <v>242</v>
      </c>
      <c r="B3" s="130">
        <f>Assumption!B66/Assumption!B71</f>
        <v>1.0342694124988856</v>
      </c>
      <c r="C3" s="130">
        <f>Assumption!C66/Assumption!C71</f>
        <v>0.93303904501367807</v>
      </c>
      <c r="D3" s="130">
        <f>Assumption!D66/Assumption!D71</f>
        <v>1.0840274695145833</v>
      </c>
      <c r="E3" s="130">
        <f>Assumption!E66/Assumption!E71</f>
        <v>1.1332485459229136</v>
      </c>
      <c r="F3" s="130">
        <f>Assumption!F66/Assumption!F71</f>
        <v>1.4306167735659785</v>
      </c>
      <c r="G3" s="130">
        <f>Assumption!G66/Assumption!G71</f>
        <v>1.2679423287050609</v>
      </c>
      <c r="H3" s="130">
        <f>Assumption!H66/Assumption!H71</f>
        <v>0.95957959638503953</v>
      </c>
      <c r="I3" s="130">
        <f>Assumption!I66/Assumption!I71</f>
        <v>0.84767951114804052</v>
      </c>
      <c r="J3" s="130">
        <f>Assumption!J66/Assumption!J71</f>
        <v>0.8119311491954323</v>
      </c>
      <c r="K3" s="131">
        <f>Assumption!K66/Assumption!K71</f>
        <v>0.76578656694569025</v>
      </c>
    </row>
    <row r="4" spans="1:13" ht="14.25" customHeight="1">
      <c r="A4" s="129" t="s">
        <v>243</v>
      </c>
      <c r="B4" s="130">
        <f>(Assumption!B66-Assumption!B61)/Assumption!B71</f>
        <v>0.48549523045377563</v>
      </c>
      <c r="C4" s="130">
        <f>(Assumption!C66-Assumption!C61)/Assumption!C71</f>
        <v>0.40077095249937827</v>
      </c>
      <c r="D4" s="130">
        <f>(Assumption!D66-Assumption!D61)/Assumption!D71</f>
        <v>0.4705851633287203</v>
      </c>
      <c r="E4" s="130">
        <f>(Assumption!E66-Assumption!E61)/Assumption!E71</f>
        <v>0.53954765646517511</v>
      </c>
      <c r="F4" s="130">
        <f>(Assumption!F66-Assumption!F61)/Assumption!F71</f>
        <v>0.81571267896768707</v>
      </c>
      <c r="G4" s="130">
        <f>(Assumption!G66-Assumption!G61)/Assumption!G71</f>
        <v>0.67408789275910763</v>
      </c>
      <c r="H4" s="130">
        <f>(Assumption!H66-Assumption!H61)/Assumption!H71</f>
        <v>0.35186957866368201</v>
      </c>
      <c r="I4" s="130">
        <f>(Assumption!I66-Assumption!I61)/Assumption!I71</f>
        <v>0.31807402021880632</v>
      </c>
      <c r="J4" s="130">
        <f>(Assumption!J66-Assumption!J61)/Assumption!J71</f>
        <v>0.38212570317902322</v>
      </c>
      <c r="K4" s="131">
        <f>(Assumption!K66-Assumption!K61)/Assumption!K71</f>
        <v>0.33724698242018547</v>
      </c>
    </row>
    <row r="5" spans="1:13" ht="15" customHeight="1">
      <c r="A5" s="1" t="s">
        <v>244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ht="14.25" customHeight="1">
      <c r="A6" s="129" t="s">
        <v>169</v>
      </c>
      <c r="B6" s="130">
        <f>Assumption!B21/Assumption!B7</f>
        <v>0.23542048421508757</v>
      </c>
      <c r="C6" s="130">
        <f>Assumption!C21/Assumption!C7</f>
        <v>0.25469921142128255</v>
      </c>
      <c r="D6" s="130">
        <f>Assumption!D21/Assumption!D7</f>
        <v>0.2596527593263524</v>
      </c>
      <c r="E6" s="130">
        <f>Assumption!E21/Assumption!E7</f>
        <v>0.25740927016972431</v>
      </c>
      <c r="F6" s="130">
        <f>Assumption!F21/Assumption!F7</f>
        <v>0.24114024349145491</v>
      </c>
      <c r="G6" s="130">
        <f>Assumption!G21/Assumption!G7</f>
        <v>0.24814574322415181</v>
      </c>
      <c r="H6" s="130">
        <f>Assumption!H21/Assumption!H7</f>
        <v>0.25057291736466542</v>
      </c>
      <c r="I6" s="130">
        <f>Assumption!I21/Assumption!I7</f>
        <v>0.23158612660216113</v>
      </c>
      <c r="J6" s="130">
        <f>Assumption!J21/Assumption!J7</f>
        <v>0.23942983045027633</v>
      </c>
      <c r="K6" s="131">
        <f>Assumption!K21/Assumption!K7</f>
        <v>0.22734744932825926</v>
      </c>
    </row>
    <row r="7" spans="1:13" ht="14.25" customHeight="1">
      <c r="A7" s="129" t="s">
        <v>245</v>
      </c>
      <c r="B7" s="130">
        <f>Assumption!B17/Assumption!B7</f>
        <v>0.25078860298842892</v>
      </c>
      <c r="C7" s="130">
        <f>Assumption!C17/Assumption!C7</f>
        <v>0.240195759413763</v>
      </c>
      <c r="D7" s="130">
        <f>Assumption!D17/Assumption!D7</f>
        <v>0.23728464620479356</v>
      </c>
      <c r="E7" s="130">
        <f>Assumption!E17/Assumption!E7</f>
        <v>0.23574747329597157</v>
      </c>
      <c r="F7" s="130">
        <f>Assumption!F17/Assumption!F7</f>
        <v>0.23532961632932003</v>
      </c>
      <c r="G7" s="130">
        <f>Assumption!G17/Assumption!G7</f>
        <v>0.22916847790649647</v>
      </c>
      <c r="H7" s="130">
        <f>Assumption!H17/Assumption!H7</f>
        <v>0.22918400241715686</v>
      </c>
      <c r="I7" s="130">
        <f>Assumption!I17/Assumption!I7</f>
        <v>0.21493272157559756</v>
      </c>
      <c r="J7" s="130">
        <f>Assumption!J17/Assumption!J7</f>
        <v>0.21863616253706089</v>
      </c>
      <c r="K7" s="131">
        <f>Assumption!K17/Assumption!K7</f>
        <v>0.20473602338755176</v>
      </c>
    </row>
    <row r="8" spans="1:13" ht="14.25" customHeight="1">
      <c r="A8" s="129" t="s">
        <v>246</v>
      </c>
      <c r="B8" s="130">
        <f>Assumption!B33/Assumption!B7</f>
        <v>0.16836260681485182</v>
      </c>
      <c r="C8" s="130">
        <f>Assumption!C33/Assumption!C7</f>
        <v>0.18575203187784375</v>
      </c>
      <c r="D8" s="130">
        <f>Assumption!D33/Assumption!D7</f>
        <v>0.19024333593168505</v>
      </c>
      <c r="E8" s="130">
        <f>Assumption!E33/Assumption!E7</f>
        <v>0.20175631875588765</v>
      </c>
      <c r="F8" s="130">
        <f>Assumption!F33/Assumption!F7</f>
        <v>0.19437778324652136</v>
      </c>
      <c r="G8" s="130">
        <f>Assumption!G33/Assumption!G7</f>
        <v>0.18763584298724165</v>
      </c>
      <c r="H8" s="130">
        <f>Assumption!H33/Assumption!H7</f>
        <v>0.17463958898585405</v>
      </c>
      <c r="I8" s="130">
        <f>Assumption!I33/Assumption!I7</f>
        <v>0.15880785318732898</v>
      </c>
      <c r="J8" s="130">
        <f>Assumption!J33/Assumption!J7</f>
        <v>0.16620847374433495</v>
      </c>
      <c r="K8" s="131">
        <f>Assumption!K33/Assumption!K7</f>
        <v>0.15502753976954695</v>
      </c>
    </row>
    <row r="9" spans="1:13" ht="14.25" customHeight="1">
      <c r="A9" s="129" t="s">
        <v>247</v>
      </c>
      <c r="B9" s="130">
        <f>Assumption!B33/Assumption!B47</f>
        <v>0.29633938641820906</v>
      </c>
      <c r="C9" s="130">
        <f>Assumption!C33/Assumption!C47</f>
        <v>0.27310354631644557</v>
      </c>
      <c r="D9" s="130">
        <f>Assumption!D33/Assumption!D47</f>
        <v>0.2557856186388951</v>
      </c>
      <c r="E9" s="130">
        <f>Assumption!E33/Assumption!E47</f>
        <v>0.3183868253032387</v>
      </c>
      <c r="F9" s="130">
        <f>Assumption!F33/Assumption!F47</f>
        <v>0.27109917953404183</v>
      </c>
      <c r="G9" s="130">
        <f>Assumption!G33/Assumption!G47</f>
        <v>0.2562073148563776</v>
      </c>
      <c r="H9" s="130">
        <f>Assumption!H33/Assumption!H47</f>
        <v>0.24445289544277074</v>
      </c>
      <c r="I9" s="130">
        <f>Assumption!I33/Assumption!I47</f>
        <v>0.21999942737892245</v>
      </c>
      <c r="J9" s="130">
        <f>Assumption!J33/Assumption!J47</f>
        <v>0.21838889314671522</v>
      </c>
      <c r="K9" s="131">
        <f>Assumption!K33/Assumption!K47</f>
        <v>0.18916275667527471</v>
      </c>
    </row>
    <row r="10" spans="1:13" ht="14.25" customHeight="1">
      <c r="A10" s="129" t="s">
        <v>248</v>
      </c>
      <c r="B10" s="130">
        <f>Assumption!B33/Assumption!B78</f>
        <v>0.28375589120875377</v>
      </c>
      <c r="C10" s="130">
        <f>Assumption!C33/Assumption!C78</f>
        <v>0.25019159199170521</v>
      </c>
      <c r="D10" s="130">
        <f>Assumption!D33/Assumption!D78</f>
        <v>0.23669588594847366</v>
      </c>
      <c r="E10" s="130">
        <f>Assumption!E33/Assumption!E78</f>
        <v>0.29142527675276753</v>
      </c>
      <c r="F10" s="130">
        <f>Assumption!F33/Assumption!F78</f>
        <v>0.25919949500755607</v>
      </c>
      <c r="G10" s="130">
        <f>Assumption!G33/Assumption!G78</f>
        <v>0.24542777997906898</v>
      </c>
      <c r="H10" s="130">
        <f>Assumption!H33/Assumption!H78</f>
        <v>0.22104375261184883</v>
      </c>
      <c r="I10" s="130">
        <f>Assumption!I33/Assumption!I78</f>
        <v>0.19858118352438492</v>
      </c>
      <c r="J10" s="130">
        <f>Assumption!J33/Assumption!J78</f>
        <v>0.19469482890204409</v>
      </c>
      <c r="K10" s="131">
        <f>Assumption!K33/Assumption!K78</f>
        <v>0.17850505307315834</v>
      </c>
    </row>
    <row r="11" spans="1:13" ht="14.25" customHeight="1">
      <c r="A11" s="129" t="s">
        <v>249</v>
      </c>
      <c r="B11" s="130">
        <f>Assumption!B17/(Assumption!B78-Assumption!B71)</f>
        <v>0.64739478910423209</v>
      </c>
      <c r="C11" s="130">
        <f>Assumption!C17/(Assumption!C78-Assumption!C71)</f>
        <v>0.45057168169990713</v>
      </c>
      <c r="D11" s="130">
        <f>Assumption!D17/(Assumption!D78-Assumption!D71)</f>
        <v>0.39443380083946361</v>
      </c>
      <c r="E11" s="130">
        <f>Assumption!E17/(Assumption!E78-Assumption!E71)</f>
        <v>0.47605705552725397</v>
      </c>
      <c r="F11" s="130">
        <f>Assumption!F17/(Assumption!F78-Assumption!F71)</f>
        <v>0.4328657719088328</v>
      </c>
      <c r="G11" s="130">
        <f>Assumption!G17/(Assumption!G78-Assumption!G71)</f>
        <v>0.4496463087641861</v>
      </c>
      <c r="H11" s="130">
        <f>Assumption!H17/(Assumption!H78-Assumption!H71)</f>
        <v>0.42293908421729481</v>
      </c>
      <c r="I11" s="130">
        <f>Assumption!I17/(Assumption!I78-Assumption!I71)</f>
        <v>0.4021967066588743</v>
      </c>
      <c r="J11" s="130">
        <f>Assumption!J17/(Assumption!J78-Assumption!J71)</f>
        <v>0.39094302789863855</v>
      </c>
      <c r="K11" s="131">
        <f>Assumption!K17/(Assumption!K78-Assumption!K71)</f>
        <v>0.38151490090067847</v>
      </c>
    </row>
    <row r="12" spans="1:13" ht="15" customHeight="1">
      <c r="A12" s="280" t="s">
        <v>250</v>
      </c>
      <c r="B12" s="280"/>
      <c r="C12" s="280"/>
      <c r="D12" s="280"/>
      <c r="E12" s="280"/>
      <c r="F12" s="280"/>
      <c r="G12" s="280"/>
      <c r="H12" s="280"/>
      <c r="I12" s="280"/>
      <c r="J12" s="280"/>
      <c r="K12" s="280"/>
    </row>
    <row r="13" spans="1:13" ht="14.25" customHeight="1">
      <c r="A13" s="129" t="s">
        <v>251</v>
      </c>
      <c r="B13" s="130">
        <f>Assumption!B49/Assumption!B47</f>
        <v>2.8190635008354097E-2</v>
      </c>
      <c r="C13" s="130">
        <f>Assumption!C49/Assumption!C47</f>
        <v>7.7572254967358145E-2</v>
      </c>
      <c r="D13" s="130">
        <f>Assumption!D49/Assumption!D47</f>
        <v>6.7806835334030466E-2</v>
      </c>
      <c r="E13" s="130">
        <f>Assumption!E49/Assumption!E47</f>
        <v>7.807358358403757E-2</v>
      </c>
      <c r="F13" s="130">
        <f>Assumption!F49/Assumption!F47</f>
        <v>3.2934504823762693E-2</v>
      </c>
      <c r="G13" s="130">
        <f>Assumption!G49/Assumption!G47</f>
        <v>3.3363505848397951E-2</v>
      </c>
      <c r="H13" s="130">
        <f>Assumption!H49/Assumption!H47</f>
        <v>9.5530767223693566E-2</v>
      </c>
      <c r="I13" s="130">
        <f>Assumption!I49/Assumption!I47</f>
        <v>9.7895935662840716E-2</v>
      </c>
      <c r="J13" s="130">
        <f>Assumption!J49/Assumption!J47</f>
        <v>0.11220802357646807</v>
      </c>
      <c r="K13" s="131">
        <f>Assumption!K49/Assumption!K47</f>
        <v>5.1017810162340423E-2</v>
      </c>
    </row>
    <row r="14" spans="1:13" ht="14.25" customHeight="1">
      <c r="A14" s="129" t="s">
        <v>252</v>
      </c>
      <c r="B14" s="130">
        <f>Assumption!B17/Assumption!B19</f>
        <v>133.12670565302145</v>
      </c>
      <c r="C14" s="130">
        <f>Assumption!C17/Assumption!C19</f>
        <v>79.592113370301888</v>
      </c>
      <c r="D14" s="130">
        <f>Assumption!D17/Assumption!D19</f>
        <v>61.603928734582013</v>
      </c>
      <c r="E14" s="130">
        <f>Assumption!E17/Assumption!E19</f>
        <v>49.54731543624159</v>
      </c>
      <c r="F14" s="130">
        <f>Assumption!F17/Assumption!F19</f>
        <v>77.910223144784638</v>
      </c>
      <c r="G14" s="130">
        <f>Assumption!G17/Assumption!G19</f>
        <v>184.57439824945286</v>
      </c>
      <c r="H14" s="130">
        <f>Assumption!H17/Assumption!H19</f>
        <v>100.75736475629348</v>
      </c>
      <c r="I14" s="130">
        <f>Assumption!I17/Assumption!I19</f>
        <v>40.369204226870806</v>
      </c>
      <c r="J14" s="130">
        <f>Assumption!J17/Assumption!J19</f>
        <v>24.483855065319212</v>
      </c>
      <c r="K14" s="131">
        <f>Assumption!K17/Assumption!K19</f>
        <v>18.622815826471179</v>
      </c>
    </row>
    <row r="15" spans="1:13" ht="15" customHeight="1">
      <c r="A15" s="280" t="s">
        <v>253</v>
      </c>
      <c r="B15" s="280"/>
      <c r="C15" s="280"/>
      <c r="D15" s="280"/>
      <c r="E15" s="280"/>
      <c r="F15" s="280"/>
      <c r="G15" s="280"/>
      <c r="H15" s="280"/>
      <c r="I15" s="280"/>
      <c r="J15" s="280"/>
      <c r="K15" s="280"/>
    </row>
    <row r="16" spans="1:13" ht="14.25" customHeight="1">
      <c r="A16" s="129" t="s">
        <v>254</v>
      </c>
      <c r="B16" s="130">
        <f>Assumption!B15/Assumption!B61</f>
        <v>6.6288582753915142</v>
      </c>
      <c r="C16" s="130">
        <f>Assumption!C15/Assumption!C61</f>
        <v>6.8187127672000933</v>
      </c>
      <c r="D16" s="130">
        <f>Assumption!D15/Assumption!D61</f>
        <v>6.1501723917762741</v>
      </c>
      <c r="E16" s="130">
        <f>Assumption!E15/Assumption!E61</f>
        <v>6.5310274252967666</v>
      </c>
      <c r="F16" s="130">
        <f>Assumption!F15/Assumption!F61</f>
        <v>6.0290678992510571</v>
      </c>
      <c r="G16" s="130">
        <f>Assumption!G15/Assumption!G61</f>
        <v>5.0930117756875131</v>
      </c>
      <c r="H16" s="130">
        <f>Assumption!H15/Assumption!H61</f>
        <v>5.1107063233060845</v>
      </c>
      <c r="I16" s="130">
        <f>Assumption!I15/Assumption!I61</f>
        <v>5.587169157603145</v>
      </c>
      <c r="J16" s="130">
        <f>Assumption!J15/Assumption!J61</f>
        <v>6.1743834139214515</v>
      </c>
      <c r="K16" s="131">
        <f>Assumption!K15/Assumption!K61</f>
        <v>5.5923591109178847</v>
      </c>
    </row>
    <row r="17" spans="1:11" ht="14.25" customHeight="1">
      <c r="A17" s="129" t="s">
        <v>255</v>
      </c>
      <c r="B17" s="130">
        <f>Assumption!B7/Assumption!B63</f>
        <v>12.946207421141459</v>
      </c>
      <c r="C17" s="130">
        <f>Assumption!C7/Assumption!C63</f>
        <v>16.138124531132782</v>
      </c>
      <c r="D17" s="130">
        <f>Assumption!D7/Assumption!D63</f>
        <v>17.685597809174084</v>
      </c>
      <c r="E17" s="130">
        <f>Assumption!E7/Assumption!E63</f>
        <v>14.516061743846475</v>
      </c>
      <c r="F17" s="130">
        <f>Assumption!F7/Assumption!F63</f>
        <v>16.805020678028608</v>
      </c>
      <c r="G17" s="130">
        <f>Assumption!G7/Assumption!G63</f>
        <v>26.17493955340634</v>
      </c>
      <c r="H17" s="130">
        <f>Assumption!H7/Assumption!H63</f>
        <v>18.057397426025737</v>
      </c>
      <c r="I17" s="130">
        <f>Assumption!I7/Assumption!I63</f>
        <v>15.519672832246339</v>
      </c>
      <c r="J17" s="130">
        <f>Assumption!J7/Assumption!J63</f>
        <v>12.63388996259785</v>
      </c>
      <c r="K17" s="131">
        <f>Assumption!K7/Assumption!K63</f>
        <v>15.081770954743746</v>
      </c>
    </row>
    <row r="18" spans="1:11" ht="14.25" customHeight="1">
      <c r="A18" s="129" t="s">
        <v>256</v>
      </c>
      <c r="B18" s="130">
        <f>Assumption!B10/Assumption!B69</f>
        <v>2.0083018163141433</v>
      </c>
      <c r="C18" s="130">
        <f>Assumption!C10/Assumption!C69</f>
        <v>2.006058207788048</v>
      </c>
      <c r="D18" s="130">
        <f>Assumption!D10/Assumption!D69</f>
        <v>2.1110288538061481</v>
      </c>
      <c r="E18" s="130">
        <f>Assumption!E10/Assumption!E69</f>
        <v>2.192180107198352</v>
      </c>
      <c r="F18" s="130">
        <f>Assumption!F10/Assumption!F69</f>
        <v>2.1299416011713421</v>
      </c>
      <c r="G18" s="130">
        <f>Assumption!G10/Assumption!G69</f>
        <v>1.7872414858695465</v>
      </c>
      <c r="H18" s="130">
        <f>Assumption!H10/Assumption!H69</f>
        <v>1.8678151570362658</v>
      </c>
      <c r="I18" s="130">
        <f>Assumption!I10/Assumption!I69</f>
        <v>1.8014049833745214</v>
      </c>
      <c r="J18" s="130">
        <f>Assumption!J10/Assumption!J69</f>
        <v>1.5843148544511618</v>
      </c>
      <c r="K18" s="131">
        <f>Assumption!K10/Assumption!K69</f>
        <v>1.463085282554083</v>
      </c>
    </row>
    <row r="19" spans="1:11" ht="14.25" customHeight="1">
      <c r="A19" s="129" t="s">
        <v>257</v>
      </c>
      <c r="B19" s="130">
        <f>Assumption!B7/Assumption!B78</f>
        <v>1.6853854699505804</v>
      </c>
      <c r="C19" s="130">
        <f>Assumption!C7/Assumption!C78</f>
        <v>1.3469117374513506</v>
      </c>
      <c r="D19" s="130">
        <f>Assumption!D7/Assumption!D78</f>
        <v>1.2441743874459252</v>
      </c>
      <c r="E19" s="130">
        <f>Assumption!E7/Assumption!E78</f>
        <v>1.4444418819188192</v>
      </c>
      <c r="F19" s="130">
        <f>Assumption!F7/Assumption!F78</f>
        <v>1.3334831310367605</v>
      </c>
      <c r="G19" s="130">
        <f>Assumption!G7/Assumption!G78</f>
        <v>1.3080005188334773</v>
      </c>
      <c r="H19" s="130">
        <f>Assumption!H7/Assumption!H78</f>
        <v>1.2657138847810365</v>
      </c>
      <c r="I19" s="130">
        <f>Assumption!I7/Assumption!I78</f>
        <v>1.2504493923870346</v>
      </c>
      <c r="J19" s="130">
        <f>Assumption!J7/Assumption!J78</f>
        <v>1.1713893071512551</v>
      </c>
      <c r="K19" s="131">
        <f>Assumption!K7/Assumption!K78</f>
        <v>1.1514409203584821</v>
      </c>
    </row>
    <row r="20" spans="1:11" ht="15" customHeight="1">
      <c r="A20" s="132" t="s">
        <v>258</v>
      </c>
      <c r="B20" s="133">
        <f>Assumption!B34/Assumption!B33</f>
        <v>0.46152503926016397</v>
      </c>
      <c r="C20" s="133">
        <f>Assumption!C34/Assumption!C33</f>
        <v>0.22041482311958197</v>
      </c>
      <c r="D20" s="133">
        <f>Assumption!D34/Assumption!D33</f>
        <v>0.20365899904732834</v>
      </c>
      <c r="E20" s="133">
        <f>Assumption!E34/Assumption!E33</f>
        <v>0.17472816194742091</v>
      </c>
      <c r="F20" s="133">
        <f>Assumption!F34/Assumption!F33</f>
        <v>0.19949680259985322</v>
      </c>
      <c r="G20" s="133">
        <f>Assumption!G34/Assumption!G33</f>
        <v>0.22392435946628828</v>
      </c>
      <c r="H20" s="134">
        <f>Assumption!H34/Assumption!H33</f>
        <v>0</v>
      </c>
      <c r="I20" s="134">
        <f>Assumption!I34/Assumption!I33</f>
        <v>0</v>
      </c>
      <c r="J20" s="134">
        <f>Assumption!J34/Assumption!J33</f>
        <v>0</v>
      </c>
      <c r="K20" s="135">
        <f>Assumption!K34/Assumption!K33</f>
        <v>0</v>
      </c>
    </row>
    <row r="22" spans="1:11" ht="14.25" customHeight="1">
      <c r="A22" s="136"/>
    </row>
    <row r="23" spans="1:11" ht="14.25" customHeight="1">
      <c r="A23" s="136"/>
    </row>
    <row r="24" spans="1:11" ht="14.25" customHeight="1">
      <c r="A24" s="136"/>
    </row>
    <row r="25" spans="1:11" ht="14.25" customHeight="1">
      <c r="A25" s="136"/>
    </row>
    <row r="26" spans="1:11" ht="14.25" customHeight="1">
      <c r="A26" s="136"/>
    </row>
    <row r="27" spans="1:11" ht="14.25" customHeight="1">
      <c r="A27" s="136"/>
    </row>
    <row r="29" spans="1:11" ht="21" customHeight="1">
      <c r="A29" s="137"/>
    </row>
    <row r="30" spans="1:11" ht="14.25" customHeight="1">
      <c r="A30" s="138"/>
    </row>
  </sheetData>
  <mergeCells count="4">
    <mergeCell ref="A2:K2"/>
    <mergeCell ref="A5:K5"/>
    <mergeCell ref="A12:K12"/>
    <mergeCell ref="A15:K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19"/>
  <sheetViews>
    <sheetView zoomScale="86" zoomScaleNormal="86" workbookViewId="0">
      <selection activeCell="F3" sqref="F3"/>
    </sheetView>
  </sheetViews>
  <sheetFormatPr defaultColWidth="8.6640625" defaultRowHeight="14.4"/>
  <cols>
    <col min="1" max="1" width="16.5546875" customWidth="1"/>
    <col min="4" max="4" width="14.88671875" customWidth="1"/>
    <col min="5" max="5" width="15.109375" customWidth="1"/>
    <col min="6" max="6" width="19.5546875" customWidth="1"/>
  </cols>
  <sheetData>
    <row r="1" spans="1:13" ht="14.25" customHeight="1">
      <c r="A1" s="139" t="s">
        <v>259</v>
      </c>
      <c r="B1" s="139" t="s">
        <v>260</v>
      </c>
      <c r="C1" s="139" t="s">
        <v>261</v>
      </c>
      <c r="D1" s="139" t="s">
        <v>262</v>
      </c>
      <c r="E1" s="139" t="s">
        <v>263</v>
      </c>
      <c r="F1" s="139" t="s">
        <v>264</v>
      </c>
      <c r="G1" s="13"/>
      <c r="H1" s="13"/>
      <c r="I1" s="13"/>
      <c r="J1" s="13"/>
      <c r="K1" s="13"/>
      <c r="L1" s="13"/>
      <c r="M1" s="13"/>
    </row>
    <row r="2" spans="1:13" ht="14.25" customHeight="1">
      <c r="A2" s="140">
        <v>40546</v>
      </c>
      <c r="B2">
        <v>20561.05</v>
      </c>
      <c r="C2">
        <v>100.7</v>
      </c>
    </row>
    <row r="3" spans="1:13" ht="14.25" customHeight="1">
      <c r="A3" s="140">
        <v>40547</v>
      </c>
      <c r="B3">
        <v>20498.72</v>
      </c>
      <c r="C3">
        <v>102.75</v>
      </c>
      <c r="D3">
        <v>-3.0400000000000002E-3</v>
      </c>
      <c r="E3">
        <v>2.0150000000000001E-2</v>
      </c>
      <c r="F3" s="141">
        <f>SLOPE(E3:E3719,D3:D3719)</f>
        <v>0.51563123464367422</v>
      </c>
    </row>
    <row r="4" spans="1:13" ht="14.25" customHeight="1">
      <c r="A4" s="140">
        <v>40548</v>
      </c>
      <c r="B4">
        <v>20301.099999999999</v>
      </c>
      <c r="C4">
        <v>103.05</v>
      </c>
      <c r="D4">
        <v>-9.6900000000000007E-3</v>
      </c>
      <c r="E4">
        <v>2.9199999999999999E-3</v>
      </c>
    </row>
    <row r="5" spans="1:13" ht="14.25" customHeight="1">
      <c r="A5" s="140">
        <v>40549</v>
      </c>
      <c r="B5">
        <v>20184.740000000002</v>
      </c>
      <c r="C5">
        <v>101.35</v>
      </c>
      <c r="D5">
        <v>-5.7499999999999999E-3</v>
      </c>
      <c r="E5">
        <v>-1.6629999999999999E-2</v>
      </c>
    </row>
    <row r="6" spans="1:13" ht="14.25" customHeight="1">
      <c r="A6" s="140">
        <v>40550</v>
      </c>
      <c r="B6">
        <v>19691.810000000001</v>
      </c>
      <c r="C6">
        <v>100.1</v>
      </c>
      <c r="D6">
        <v>-2.4719999999999999E-2</v>
      </c>
      <c r="E6">
        <v>-1.2409999999999999E-2</v>
      </c>
    </row>
    <row r="7" spans="1:13" ht="14.25" customHeight="1">
      <c r="A7" s="140">
        <v>40553</v>
      </c>
      <c r="B7">
        <v>19224.12</v>
      </c>
      <c r="C7">
        <v>101.3</v>
      </c>
      <c r="D7">
        <v>-2.4039999999999999E-2</v>
      </c>
      <c r="E7">
        <v>1.192E-2</v>
      </c>
    </row>
    <row r="8" spans="1:13" ht="14.25" customHeight="1">
      <c r="A8" s="140">
        <v>40554</v>
      </c>
      <c r="B8">
        <v>19196.34</v>
      </c>
      <c r="C8">
        <v>102.85</v>
      </c>
      <c r="D8">
        <v>-1.4499999999999999E-3</v>
      </c>
      <c r="E8">
        <v>1.519E-2</v>
      </c>
    </row>
    <row r="9" spans="1:13" ht="14.25" customHeight="1">
      <c r="A9" s="140">
        <v>40555</v>
      </c>
      <c r="B9">
        <v>19534.099999999999</v>
      </c>
      <c r="C9">
        <v>101.75</v>
      </c>
      <c r="D9">
        <v>1.7440000000000001E-2</v>
      </c>
      <c r="E9">
        <v>-1.0749999999999999E-2</v>
      </c>
    </row>
    <row r="10" spans="1:13" ht="14.25" customHeight="1">
      <c r="A10" s="140">
        <v>40556</v>
      </c>
      <c r="B10">
        <v>19182.82</v>
      </c>
      <c r="C10">
        <v>100.8</v>
      </c>
      <c r="D10">
        <v>-1.8149999999999999E-2</v>
      </c>
      <c r="E10">
        <v>-9.3799999999999994E-3</v>
      </c>
    </row>
    <row r="11" spans="1:13" ht="14.25" customHeight="1">
      <c r="A11" s="140">
        <v>40557</v>
      </c>
      <c r="B11">
        <v>18860.439999999999</v>
      </c>
      <c r="C11">
        <v>100.75</v>
      </c>
      <c r="D11">
        <v>-1.695E-2</v>
      </c>
      <c r="E11">
        <v>-5.0000000000000001E-4</v>
      </c>
    </row>
    <row r="12" spans="1:13" ht="14.25" customHeight="1">
      <c r="A12" s="140">
        <v>40560</v>
      </c>
      <c r="B12">
        <v>18882.25</v>
      </c>
      <c r="C12">
        <v>99.1</v>
      </c>
      <c r="D12">
        <v>1.16E-3</v>
      </c>
      <c r="E12">
        <v>-1.651E-2</v>
      </c>
    </row>
    <row r="13" spans="1:13" ht="14.25" customHeight="1">
      <c r="A13" s="140">
        <v>40561</v>
      </c>
      <c r="B13">
        <v>19092.05</v>
      </c>
      <c r="C13">
        <v>101.25</v>
      </c>
      <c r="D13">
        <v>1.1050000000000001E-2</v>
      </c>
      <c r="E13">
        <v>2.146E-2</v>
      </c>
    </row>
    <row r="14" spans="1:13" ht="14.25" customHeight="1">
      <c r="A14" s="140">
        <v>40562</v>
      </c>
      <c r="B14">
        <v>18978.32</v>
      </c>
      <c r="C14">
        <v>100.25</v>
      </c>
      <c r="D14">
        <v>-5.9699999999999996E-3</v>
      </c>
      <c r="E14">
        <v>-9.9299999999999996E-3</v>
      </c>
    </row>
    <row r="15" spans="1:13" ht="14.25" customHeight="1">
      <c r="A15" s="140">
        <v>40563</v>
      </c>
      <c r="B15">
        <v>19046.54</v>
      </c>
      <c r="C15">
        <v>99.6</v>
      </c>
      <c r="D15">
        <v>3.5899999999999999E-3</v>
      </c>
      <c r="E15">
        <v>-6.4999999999999997E-3</v>
      </c>
    </row>
    <row r="16" spans="1:13" ht="14.25" customHeight="1">
      <c r="A16" s="140">
        <v>40564</v>
      </c>
      <c r="B16">
        <v>19007.53</v>
      </c>
      <c r="C16">
        <v>98.35</v>
      </c>
      <c r="D16">
        <v>-2.0500000000000002E-3</v>
      </c>
      <c r="E16">
        <v>-1.2630000000000001E-2</v>
      </c>
    </row>
    <row r="17" spans="1:5" ht="14.25" customHeight="1">
      <c r="A17" s="140">
        <v>40567</v>
      </c>
      <c r="B17">
        <v>19151.28</v>
      </c>
      <c r="C17">
        <v>98.2</v>
      </c>
      <c r="D17">
        <v>7.5300000000000002E-3</v>
      </c>
      <c r="E17">
        <v>-1.5299999999999999E-3</v>
      </c>
    </row>
    <row r="18" spans="1:5" ht="14.25" customHeight="1">
      <c r="A18" s="140">
        <v>40568</v>
      </c>
      <c r="B18">
        <v>18969.45</v>
      </c>
      <c r="C18">
        <v>98.15</v>
      </c>
      <c r="D18">
        <v>-9.5399999999999999E-3</v>
      </c>
      <c r="E18">
        <v>-5.1000000000000004E-4</v>
      </c>
    </row>
    <row r="19" spans="1:5" ht="14.25" customHeight="1">
      <c r="A19" s="140">
        <v>40570</v>
      </c>
      <c r="B19">
        <v>18684.43</v>
      </c>
      <c r="C19">
        <v>95.6</v>
      </c>
      <c r="D19">
        <v>-1.5140000000000001E-2</v>
      </c>
      <c r="E19">
        <v>-2.632E-2</v>
      </c>
    </row>
    <row r="20" spans="1:5" ht="14.25" customHeight="1">
      <c r="A20" s="140">
        <v>40571</v>
      </c>
      <c r="B20">
        <v>18395.97</v>
      </c>
      <c r="C20">
        <v>91.1</v>
      </c>
      <c r="D20">
        <v>-1.5559999999999999E-2</v>
      </c>
      <c r="E20">
        <v>-4.8219999999999999E-2</v>
      </c>
    </row>
    <row r="21" spans="1:5" ht="14.25" customHeight="1">
      <c r="A21" s="140">
        <v>40574</v>
      </c>
      <c r="B21">
        <v>18327.759999999998</v>
      </c>
      <c r="C21">
        <v>93.95</v>
      </c>
      <c r="D21">
        <v>-3.7100000000000002E-3</v>
      </c>
      <c r="E21">
        <v>3.0800000000000001E-2</v>
      </c>
    </row>
    <row r="22" spans="1:5" ht="14.25" customHeight="1">
      <c r="A22" s="140">
        <v>40575</v>
      </c>
      <c r="B22">
        <v>18022.22</v>
      </c>
      <c r="C22">
        <v>93.05</v>
      </c>
      <c r="D22">
        <v>-1.6809999999999999E-2</v>
      </c>
      <c r="E22">
        <v>-9.6299999999999997E-3</v>
      </c>
    </row>
    <row r="23" spans="1:5" ht="14.25" customHeight="1">
      <c r="A23" s="140">
        <v>40576</v>
      </c>
      <c r="B23">
        <v>18090.62</v>
      </c>
      <c r="C23">
        <v>93.7</v>
      </c>
      <c r="D23">
        <v>3.79E-3</v>
      </c>
      <c r="E23">
        <v>6.96E-3</v>
      </c>
    </row>
    <row r="24" spans="1:5" ht="14.25" customHeight="1">
      <c r="A24" s="140">
        <v>40577</v>
      </c>
      <c r="B24">
        <v>18449.310000000001</v>
      </c>
      <c r="C24">
        <v>93</v>
      </c>
      <c r="D24">
        <v>1.9630000000000002E-2</v>
      </c>
      <c r="E24">
        <v>-7.4999999999999997E-3</v>
      </c>
    </row>
    <row r="25" spans="1:5" ht="14.25" customHeight="1">
      <c r="A25" s="140">
        <v>40578</v>
      </c>
      <c r="B25">
        <v>18008.150000000001</v>
      </c>
      <c r="C25">
        <v>92.3</v>
      </c>
      <c r="D25">
        <v>-2.4199999999999999E-2</v>
      </c>
      <c r="E25">
        <v>-7.5599999999999999E-3</v>
      </c>
    </row>
    <row r="26" spans="1:5" ht="14.25" customHeight="1">
      <c r="A26" s="140">
        <v>40581</v>
      </c>
      <c r="B26">
        <v>18037.189999999999</v>
      </c>
      <c r="C26">
        <v>92.85</v>
      </c>
      <c r="D26">
        <v>1.6100000000000001E-3</v>
      </c>
      <c r="E26">
        <v>5.94E-3</v>
      </c>
    </row>
    <row r="27" spans="1:5" ht="14.25" customHeight="1">
      <c r="A27" s="140">
        <v>40582</v>
      </c>
      <c r="B27">
        <v>17775.7</v>
      </c>
      <c r="C27">
        <v>91.8</v>
      </c>
      <c r="D27">
        <v>-1.46E-2</v>
      </c>
      <c r="E27">
        <v>-1.137E-2</v>
      </c>
    </row>
    <row r="28" spans="1:5" ht="14.25" customHeight="1">
      <c r="A28" s="140">
        <v>40583</v>
      </c>
      <c r="B28">
        <v>17592.77</v>
      </c>
      <c r="C28">
        <v>90.5</v>
      </c>
      <c r="D28">
        <v>-1.034E-2</v>
      </c>
      <c r="E28">
        <v>-1.426E-2</v>
      </c>
    </row>
    <row r="29" spans="1:5" ht="14.25" customHeight="1">
      <c r="A29" s="140">
        <v>40584</v>
      </c>
      <c r="B29">
        <v>17463.04</v>
      </c>
      <c r="C29">
        <v>91.2</v>
      </c>
      <c r="D29">
        <v>-7.4000000000000003E-3</v>
      </c>
      <c r="E29">
        <v>7.7099999999999998E-3</v>
      </c>
    </row>
    <row r="30" spans="1:5" ht="14.25" customHeight="1">
      <c r="A30" s="140">
        <v>40585</v>
      </c>
      <c r="B30">
        <v>17728.61</v>
      </c>
      <c r="C30">
        <v>91.75</v>
      </c>
      <c r="D30">
        <v>1.5089999999999999E-2</v>
      </c>
      <c r="E30">
        <v>6.0099999999999997E-3</v>
      </c>
    </row>
    <row r="31" spans="1:5" ht="14.25" customHeight="1">
      <c r="A31" s="140">
        <v>40588</v>
      </c>
      <c r="B31">
        <v>18202.2</v>
      </c>
      <c r="C31">
        <v>94.55</v>
      </c>
      <c r="D31">
        <v>2.6360000000000001E-2</v>
      </c>
      <c r="E31">
        <v>3.006E-2</v>
      </c>
    </row>
    <row r="32" spans="1:5" ht="14.25" customHeight="1">
      <c r="A32" s="140">
        <v>40589</v>
      </c>
      <c r="B32">
        <v>18273.8</v>
      </c>
      <c r="C32">
        <v>93.1</v>
      </c>
      <c r="D32">
        <v>3.9300000000000003E-3</v>
      </c>
      <c r="E32">
        <v>-1.545E-2</v>
      </c>
    </row>
    <row r="33" spans="1:5" ht="14.25" customHeight="1">
      <c r="A33" s="140">
        <v>40590</v>
      </c>
      <c r="B33">
        <v>18300.900000000001</v>
      </c>
      <c r="C33">
        <v>96.7</v>
      </c>
      <c r="D33">
        <v>1.48E-3</v>
      </c>
      <c r="E33">
        <v>3.7940000000000002E-2</v>
      </c>
    </row>
    <row r="34" spans="1:5" ht="14.25" customHeight="1">
      <c r="A34" s="140">
        <v>40591</v>
      </c>
      <c r="B34">
        <v>18506.82</v>
      </c>
      <c r="C34">
        <v>99.95</v>
      </c>
      <c r="D34">
        <v>1.119E-2</v>
      </c>
      <c r="E34">
        <v>3.3059999999999999E-2</v>
      </c>
    </row>
    <row r="35" spans="1:5" ht="14.25" customHeight="1">
      <c r="A35" s="140">
        <v>40592</v>
      </c>
      <c r="B35">
        <v>18211.52</v>
      </c>
      <c r="C35">
        <v>96.6</v>
      </c>
      <c r="D35">
        <v>-1.6080000000000001E-2</v>
      </c>
      <c r="E35">
        <v>-3.4090000000000002E-2</v>
      </c>
    </row>
    <row r="36" spans="1:5" ht="14.25" customHeight="1">
      <c r="A36" s="140">
        <v>40595</v>
      </c>
      <c r="B36">
        <v>18438.310000000001</v>
      </c>
      <c r="C36">
        <v>96.6</v>
      </c>
      <c r="D36">
        <v>1.238E-2</v>
      </c>
      <c r="E36">
        <v>0</v>
      </c>
    </row>
    <row r="37" spans="1:5" ht="14.25" customHeight="1">
      <c r="A37" s="140">
        <v>40596</v>
      </c>
      <c r="B37">
        <v>18296.16</v>
      </c>
      <c r="C37">
        <v>96.25</v>
      </c>
      <c r="D37">
        <v>-7.7400000000000004E-3</v>
      </c>
      <c r="E37">
        <v>-3.63E-3</v>
      </c>
    </row>
    <row r="38" spans="1:5" ht="14.25" customHeight="1">
      <c r="A38" s="140">
        <v>40597</v>
      </c>
      <c r="B38">
        <v>18178.330000000002</v>
      </c>
      <c r="C38">
        <v>97.95</v>
      </c>
      <c r="D38">
        <v>-6.4599999999999996E-3</v>
      </c>
      <c r="E38">
        <v>1.7510000000000001E-2</v>
      </c>
    </row>
    <row r="39" spans="1:5" ht="14.25" customHeight="1">
      <c r="A39" s="140">
        <v>40598</v>
      </c>
      <c r="B39">
        <v>17632.41</v>
      </c>
      <c r="C39">
        <v>98.1</v>
      </c>
      <c r="D39">
        <v>-3.049E-2</v>
      </c>
      <c r="E39">
        <v>1.5299999999999999E-3</v>
      </c>
    </row>
    <row r="40" spans="1:5" ht="14.25" customHeight="1">
      <c r="A40" s="140">
        <v>40599</v>
      </c>
      <c r="B40">
        <v>17700.91</v>
      </c>
      <c r="C40">
        <v>98.85</v>
      </c>
      <c r="D40">
        <v>3.8800000000000002E-3</v>
      </c>
      <c r="E40">
        <v>7.62E-3</v>
      </c>
    </row>
    <row r="41" spans="1:5" ht="14.25" customHeight="1">
      <c r="A41" s="140">
        <v>40602</v>
      </c>
      <c r="B41">
        <v>17823.400000000001</v>
      </c>
      <c r="C41">
        <v>100.05</v>
      </c>
      <c r="D41">
        <v>6.8999999999999999E-3</v>
      </c>
      <c r="E41">
        <v>1.2070000000000001E-2</v>
      </c>
    </row>
    <row r="42" spans="1:5" ht="14.25" customHeight="1">
      <c r="A42" s="140">
        <v>40603</v>
      </c>
      <c r="B42">
        <v>18446.5</v>
      </c>
      <c r="C42">
        <v>100.4</v>
      </c>
      <c r="D42">
        <v>3.4360000000000002E-2</v>
      </c>
      <c r="E42">
        <v>3.49E-3</v>
      </c>
    </row>
    <row r="43" spans="1:5" ht="14.25" customHeight="1">
      <c r="A43" s="140">
        <v>40605</v>
      </c>
      <c r="B43">
        <v>18489.759999999998</v>
      </c>
      <c r="C43">
        <v>101.25</v>
      </c>
      <c r="D43">
        <v>2.3400000000000001E-3</v>
      </c>
      <c r="E43">
        <v>8.43E-3</v>
      </c>
    </row>
    <row r="44" spans="1:5" ht="14.25" customHeight="1">
      <c r="A44" s="140">
        <v>40606</v>
      </c>
      <c r="B44">
        <v>18486.45</v>
      </c>
      <c r="C44">
        <v>102.8</v>
      </c>
      <c r="D44">
        <v>-1.8000000000000001E-4</v>
      </c>
      <c r="E44">
        <v>1.519E-2</v>
      </c>
    </row>
    <row r="45" spans="1:5" ht="14.25" customHeight="1">
      <c r="A45" s="140">
        <v>40609</v>
      </c>
      <c r="B45">
        <v>18222.669999999998</v>
      </c>
      <c r="C45">
        <v>100.35</v>
      </c>
      <c r="D45">
        <v>-1.4370000000000001E-2</v>
      </c>
      <c r="E45">
        <v>-2.4119999999999999E-2</v>
      </c>
    </row>
    <row r="46" spans="1:5" ht="14.25" customHeight="1">
      <c r="A46" s="140">
        <v>40610</v>
      </c>
      <c r="B46">
        <v>18439.650000000001</v>
      </c>
      <c r="C46">
        <v>98.55</v>
      </c>
      <c r="D46">
        <v>1.184E-2</v>
      </c>
      <c r="E46">
        <v>-1.8100000000000002E-2</v>
      </c>
    </row>
    <row r="47" spans="1:5" ht="14.25" customHeight="1">
      <c r="A47" s="140">
        <v>40611</v>
      </c>
      <c r="B47">
        <v>18469.95</v>
      </c>
      <c r="C47">
        <v>97.8</v>
      </c>
      <c r="D47">
        <v>1.64E-3</v>
      </c>
      <c r="E47">
        <v>-7.6400000000000001E-3</v>
      </c>
    </row>
    <row r="48" spans="1:5" ht="14.25" customHeight="1">
      <c r="A48" s="140">
        <v>40612</v>
      </c>
      <c r="B48">
        <v>18327.98</v>
      </c>
      <c r="C48">
        <v>97.05</v>
      </c>
      <c r="D48">
        <v>-7.7200000000000003E-3</v>
      </c>
      <c r="E48">
        <v>-7.7000000000000002E-3</v>
      </c>
    </row>
    <row r="49" spans="1:5" ht="14.25" customHeight="1">
      <c r="A49" s="140">
        <v>40613</v>
      </c>
      <c r="B49">
        <v>18174.09</v>
      </c>
      <c r="C49">
        <v>96.7</v>
      </c>
      <c r="D49">
        <v>-8.43E-3</v>
      </c>
      <c r="E49">
        <v>-3.6099999999999999E-3</v>
      </c>
    </row>
    <row r="50" spans="1:5" ht="14.25" customHeight="1">
      <c r="A50" s="140">
        <v>40616</v>
      </c>
      <c r="B50">
        <v>18439.48</v>
      </c>
      <c r="C50">
        <v>96.9</v>
      </c>
      <c r="D50">
        <v>1.4500000000000001E-2</v>
      </c>
      <c r="E50">
        <v>2.0699999999999998E-3</v>
      </c>
    </row>
    <row r="51" spans="1:5" ht="14.25" customHeight="1">
      <c r="A51" s="140">
        <v>40617</v>
      </c>
      <c r="B51">
        <v>18167.64</v>
      </c>
      <c r="C51">
        <v>96.9</v>
      </c>
      <c r="D51">
        <v>-1.485E-2</v>
      </c>
      <c r="E51">
        <v>0</v>
      </c>
    </row>
    <row r="52" spans="1:5" ht="14.25" customHeight="1">
      <c r="A52" s="140">
        <v>40618</v>
      </c>
      <c r="B52">
        <v>18358.689999999999</v>
      </c>
      <c r="C52">
        <v>97.65</v>
      </c>
      <c r="D52">
        <v>1.0460000000000001E-2</v>
      </c>
      <c r="E52">
        <v>7.7099999999999998E-3</v>
      </c>
    </row>
    <row r="53" spans="1:5" ht="14.25" customHeight="1">
      <c r="A53" s="140">
        <v>40619</v>
      </c>
      <c r="B53">
        <v>18149.87</v>
      </c>
      <c r="C53">
        <v>96.3</v>
      </c>
      <c r="D53">
        <v>-1.1440000000000001E-2</v>
      </c>
      <c r="E53">
        <v>-1.392E-2</v>
      </c>
    </row>
    <row r="54" spans="1:5" ht="14.25" customHeight="1">
      <c r="A54" s="140">
        <v>40620</v>
      </c>
      <c r="B54">
        <v>17878.810000000001</v>
      </c>
      <c r="C54">
        <v>96.7</v>
      </c>
      <c r="D54">
        <v>-1.5049999999999999E-2</v>
      </c>
      <c r="E54">
        <v>4.15E-3</v>
      </c>
    </row>
    <row r="55" spans="1:5" ht="14.25" customHeight="1">
      <c r="A55" s="140">
        <v>40623</v>
      </c>
      <c r="B55">
        <v>17839.05</v>
      </c>
      <c r="C55">
        <v>95.9</v>
      </c>
      <c r="D55">
        <v>-2.2300000000000002E-3</v>
      </c>
      <c r="E55">
        <v>-8.3099999999999997E-3</v>
      </c>
    </row>
    <row r="56" spans="1:5" ht="14.25" customHeight="1">
      <c r="A56" s="140">
        <v>40624</v>
      </c>
      <c r="B56">
        <v>17988.3</v>
      </c>
      <c r="C56">
        <v>95.8</v>
      </c>
      <c r="D56">
        <v>8.3300000000000006E-3</v>
      </c>
      <c r="E56">
        <v>-1.0399999999999999E-3</v>
      </c>
    </row>
    <row r="57" spans="1:5" ht="14.25" customHeight="1">
      <c r="A57" s="140">
        <v>40625</v>
      </c>
      <c r="B57">
        <v>18206.16</v>
      </c>
      <c r="C57">
        <v>96.7</v>
      </c>
      <c r="D57">
        <v>1.204E-2</v>
      </c>
      <c r="E57">
        <v>9.3500000000000007E-3</v>
      </c>
    </row>
    <row r="58" spans="1:5" ht="14.25" customHeight="1">
      <c r="A58" s="140">
        <v>40626</v>
      </c>
      <c r="B58">
        <v>18350.740000000002</v>
      </c>
      <c r="C58">
        <v>95.9</v>
      </c>
      <c r="D58">
        <v>7.9100000000000004E-3</v>
      </c>
      <c r="E58">
        <v>-8.3099999999999997E-3</v>
      </c>
    </row>
    <row r="59" spans="1:5" ht="14.25" customHeight="1">
      <c r="A59" s="140">
        <v>40627</v>
      </c>
      <c r="B59">
        <v>18815.64</v>
      </c>
      <c r="C59">
        <v>95.95</v>
      </c>
      <c r="D59">
        <v>2.5020000000000001E-2</v>
      </c>
      <c r="E59">
        <v>5.1999999999999995E-4</v>
      </c>
    </row>
    <row r="60" spans="1:5" ht="14.25" customHeight="1">
      <c r="A60" s="140">
        <v>40630</v>
      </c>
      <c r="B60">
        <v>18943.14</v>
      </c>
      <c r="C60">
        <v>95.45</v>
      </c>
      <c r="D60">
        <v>6.7499999999999999E-3</v>
      </c>
      <c r="E60">
        <v>-5.2199999999999998E-3</v>
      </c>
    </row>
    <row r="61" spans="1:5" ht="14.25" customHeight="1">
      <c r="A61" s="140">
        <v>40631</v>
      </c>
      <c r="B61">
        <v>19120.8</v>
      </c>
      <c r="C61">
        <v>94.55</v>
      </c>
      <c r="D61">
        <v>9.3299999999999998E-3</v>
      </c>
      <c r="E61">
        <v>-9.4699999999999993E-3</v>
      </c>
    </row>
    <row r="62" spans="1:5" ht="14.25" customHeight="1">
      <c r="A62" s="140">
        <v>40632</v>
      </c>
      <c r="B62">
        <v>19290.18</v>
      </c>
      <c r="C62">
        <v>95.55</v>
      </c>
      <c r="D62">
        <v>8.8199999999999997E-3</v>
      </c>
      <c r="E62">
        <v>1.052E-2</v>
      </c>
    </row>
    <row r="63" spans="1:5" ht="14.25" customHeight="1">
      <c r="A63" s="140">
        <v>40633</v>
      </c>
      <c r="B63">
        <v>19445.22</v>
      </c>
      <c r="C63">
        <v>96.05</v>
      </c>
      <c r="D63">
        <v>8.0099999999999998E-3</v>
      </c>
      <c r="E63">
        <v>5.2199999999999998E-3</v>
      </c>
    </row>
    <row r="64" spans="1:5" ht="14.25" customHeight="1">
      <c r="A64" s="140">
        <v>40634</v>
      </c>
      <c r="B64">
        <v>19420.39</v>
      </c>
      <c r="C64">
        <v>97.1</v>
      </c>
      <c r="D64">
        <v>-1.2800000000000001E-3</v>
      </c>
      <c r="E64">
        <v>1.0869999999999999E-2</v>
      </c>
    </row>
    <row r="65" spans="1:5" ht="14.25" customHeight="1">
      <c r="A65" s="140">
        <v>40637</v>
      </c>
      <c r="B65">
        <v>19701.73</v>
      </c>
      <c r="C65">
        <v>97.05</v>
      </c>
      <c r="D65">
        <v>1.438E-2</v>
      </c>
      <c r="E65">
        <v>-5.1999999999999995E-4</v>
      </c>
    </row>
    <row r="66" spans="1:5" ht="14.25" customHeight="1">
      <c r="A66" s="140">
        <v>40638</v>
      </c>
      <c r="B66">
        <v>19686.82</v>
      </c>
      <c r="C66">
        <v>97.65</v>
      </c>
      <c r="D66">
        <v>-7.6000000000000004E-4</v>
      </c>
      <c r="E66">
        <v>6.1599999999999997E-3</v>
      </c>
    </row>
    <row r="67" spans="1:5" ht="14.25" customHeight="1">
      <c r="A67" s="140">
        <v>40639</v>
      </c>
      <c r="B67">
        <v>19612.2</v>
      </c>
      <c r="C67">
        <v>99.9</v>
      </c>
      <c r="D67">
        <v>-3.8E-3</v>
      </c>
      <c r="E67">
        <v>2.2780000000000002E-2</v>
      </c>
    </row>
    <row r="68" spans="1:5" ht="14.25" customHeight="1">
      <c r="A68" s="140">
        <v>40640</v>
      </c>
      <c r="B68">
        <v>19591.18</v>
      </c>
      <c r="C68">
        <v>99.65</v>
      </c>
      <c r="D68">
        <v>-1.07E-3</v>
      </c>
      <c r="E68">
        <v>-2.5100000000000001E-3</v>
      </c>
    </row>
    <row r="69" spans="1:5" ht="14.25" customHeight="1">
      <c r="A69" s="140">
        <v>40641</v>
      </c>
      <c r="B69">
        <v>19451.45</v>
      </c>
      <c r="C69">
        <v>101.35</v>
      </c>
      <c r="D69">
        <v>-7.1599999999999997E-3</v>
      </c>
      <c r="E69">
        <v>1.6920000000000001E-2</v>
      </c>
    </row>
    <row r="70" spans="1:5" ht="14.25" customHeight="1">
      <c r="A70" s="140">
        <v>40644</v>
      </c>
      <c r="B70">
        <v>19262.54</v>
      </c>
      <c r="C70">
        <v>102.45</v>
      </c>
      <c r="D70">
        <v>-9.7599999999999996E-3</v>
      </c>
      <c r="E70">
        <v>1.0800000000000001E-2</v>
      </c>
    </row>
    <row r="71" spans="1:5" ht="14.25" customHeight="1">
      <c r="A71" s="140">
        <v>40646</v>
      </c>
      <c r="B71">
        <v>19696.86</v>
      </c>
      <c r="C71">
        <v>103.15</v>
      </c>
      <c r="D71">
        <v>2.23E-2</v>
      </c>
      <c r="E71">
        <v>6.8100000000000001E-3</v>
      </c>
    </row>
    <row r="72" spans="1:5" ht="14.25" customHeight="1">
      <c r="A72" s="140">
        <v>40648</v>
      </c>
      <c r="B72">
        <v>19386.82</v>
      </c>
      <c r="C72">
        <v>102.9</v>
      </c>
      <c r="D72">
        <v>-1.5869999999999999E-2</v>
      </c>
      <c r="E72">
        <v>-2.4299999999999999E-3</v>
      </c>
    </row>
    <row r="73" spans="1:5" ht="14.25" customHeight="1">
      <c r="A73" s="140">
        <v>40651</v>
      </c>
      <c r="B73">
        <v>19091.169999999998</v>
      </c>
      <c r="C73">
        <v>103.15</v>
      </c>
      <c r="D73">
        <v>-1.537E-2</v>
      </c>
      <c r="E73">
        <v>2.4299999999999999E-3</v>
      </c>
    </row>
    <row r="74" spans="1:5" ht="14.25" customHeight="1">
      <c r="A74" s="140">
        <v>40652</v>
      </c>
      <c r="B74">
        <v>19121.830000000002</v>
      </c>
      <c r="C74">
        <v>102.3</v>
      </c>
      <c r="D74">
        <v>1.6000000000000001E-3</v>
      </c>
      <c r="E74">
        <v>-8.2699999999999996E-3</v>
      </c>
    </row>
    <row r="75" spans="1:5" ht="14.25" customHeight="1">
      <c r="A75" s="140">
        <v>40653</v>
      </c>
      <c r="B75">
        <v>19470.98</v>
      </c>
      <c r="C75">
        <v>102.8</v>
      </c>
      <c r="D75">
        <v>1.8089999999999998E-2</v>
      </c>
      <c r="E75">
        <v>4.8799999999999998E-3</v>
      </c>
    </row>
    <row r="76" spans="1:5" ht="14.25" customHeight="1">
      <c r="A76" s="140">
        <v>40654</v>
      </c>
      <c r="B76">
        <v>19602.23</v>
      </c>
      <c r="C76">
        <v>103.2</v>
      </c>
      <c r="D76">
        <v>6.7200000000000003E-3</v>
      </c>
      <c r="E76">
        <v>3.8800000000000002E-3</v>
      </c>
    </row>
    <row r="77" spans="1:5" ht="14.25" customHeight="1">
      <c r="A77" s="140">
        <v>40658</v>
      </c>
      <c r="B77">
        <v>19584.310000000001</v>
      </c>
      <c r="C77">
        <v>102.9</v>
      </c>
      <c r="D77">
        <v>-9.1E-4</v>
      </c>
      <c r="E77">
        <v>-2.9099999999999998E-3</v>
      </c>
    </row>
    <row r="78" spans="1:5" ht="14.25" customHeight="1">
      <c r="A78" s="140">
        <v>40659</v>
      </c>
      <c r="B78">
        <v>19545.349999999999</v>
      </c>
      <c r="C78">
        <v>102</v>
      </c>
      <c r="D78">
        <v>-1.99E-3</v>
      </c>
      <c r="E78">
        <v>-8.7799999999999996E-3</v>
      </c>
    </row>
    <row r="79" spans="1:5" ht="14.25" customHeight="1">
      <c r="A79" s="140">
        <v>40660</v>
      </c>
      <c r="B79">
        <v>19448.689999999999</v>
      </c>
      <c r="C79">
        <v>99.6</v>
      </c>
      <c r="D79">
        <v>-4.96E-3</v>
      </c>
      <c r="E79">
        <v>-2.3810000000000001E-2</v>
      </c>
    </row>
    <row r="80" spans="1:5" ht="14.25" customHeight="1">
      <c r="A80" s="140">
        <v>40661</v>
      </c>
      <c r="B80">
        <v>19292.02</v>
      </c>
      <c r="C80">
        <v>98.55</v>
      </c>
      <c r="D80">
        <v>-8.09E-3</v>
      </c>
      <c r="E80">
        <v>-1.06E-2</v>
      </c>
    </row>
    <row r="81" spans="1:5" ht="14.25" customHeight="1">
      <c r="A81" s="140">
        <v>40662</v>
      </c>
      <c r="B81">
        <v>19135.96</v>
      </c>
      <c r="C81">
        <v>101.2</v>
      </c>
      <c r="D81">
        <v>-8.1200000000000005E-3</v>
      </c>
      <c r="E81">
        <v>2.6530000000000001E-2</v>
      </c>
    </row>
    <row r="82" spans="1:5" ht="14.25" customHeight="1">
      <c r="A82" s="140">
        <v>40665</v>
      </c>
      <c r="B82">
        <v>18998.02</v>
      </c>
      <c r="C82">
        <v>101</v>
      </c>
      <c r="D82">
        <v>-7.2300000000000003E-3</v>
      </c>
      <c r="E82">
        <v>-1.98E-3</v>
      </c>
    </row>
    <row r="83" spans="1:5" ht="14.25" customHeight="1">
      <c r="A83" s="140">
        <v>40666</v>
      </c>
      <c r="B83">
        <v>18534.689999999999</v>
      </c>
      <c r="C83">
        <v>100.1</v>
      </c>
      <c r="D83">
        <v>-2.469E-2</v>
      </c>
      <c r="E83">
        <v>-8.9499999999999996E-3</v>
      </c>
    </row>
    <row r="84" spans="1:5" ht="14.25" customHeight="1">
      <c r="A84" s="140">
        <v>40667</v>
      </c>
      <c r="B84">
        <v>18469.36</v>
      </c>
      <c r="C84">
        <v>100.1</v>
      </c>
      <c r="D84">
        <v>-3.5300000000000002E-3</v>
      </c>
      <c r="E84">
        <v>0</v>
      </c>
    </row>
    <row r="85" spans="1:5" ht="14.25" customHeight="1">
      <c r="A85" s="140">
        <v>40668</v>
      </c>
      <c r="B85">
        <v>18210.580000000002</v>
      </c>
      <c r="C85">
        <v>100</v>
      </c>
      <c r="D85">
        <v>-1.4109999999999999E-2</v>
      </c>
      <c r="E85">
        <v>-1E-3</v>
      </c>
    </row>
    <row r="86" spans="1:5" ht="14.25" customHeight="1">
      <c r="A86" s="140">
        <v>40669</v>
      </c>
      <c r="B86">
        <v>18518.810000000001</v>
      </c>
      <c r="C86">
        <v>102.1</v>
      </c>
      <c r="D86">
        <v>1.678E-2</v>
      </c>
      <c r="E86">
        <v>2.078E-2</v>
      </c>
    </row>
    <row r="87" spans="1:5" ht="14.25" customHeight="1">
      <c r="A87" s="140">
        <v>40672</v>
      </c>
      <c r="B87">
        <v>18528.96</v>
      </c>
      <c r="C87">
        <v>102.3</v>
      </c>
      <c r="D87">
        <v>5.5000000000000003E-4</v>
      </c>
      <c r="E87">
        <v>1.9599999999999999E-3</v>
      </c>
    </row>
    <row r="88" spans="1:5" ht="14.25" customHeight="1">
      <c r="A88" s="140">
        <v>40673</v>
      </c>
      <c r="B88">
        <v>18512.77</v>
      </c>
      <c r="C88">
        <v>100.8</v>
      </c>
      <c r="D88">
        <v>-8.7000000000000001E-4</v>
      </c>
      <c r="E88">
        <v>-1.477E-2</v>
      </c>
    </row>
    <row r="89" spans="1:5" ht="14.25" customHeight="1">
      <c r="A89" s="140">
        <v>40674</v>
      </c>
      <c r="B89">
        <v>18584.96</v>
      </c>
      <c r="C89">
        <v>100.75</v>
      </c>
      <c r="D89">
        <v>3.8899999999999998E-3</v>
      </c>
      <c r="E89">
        <v>-5.0000000000000001E-4</v>
      </c>
    </row>
    <row r="90" spans="1:5" ht="14.25" customHeight="1">
      <c r="A90" s="140">
        <v>40675</v>
      </c>
      <c r="B90">
        <v>18335.79</v>
      </c>
      <c r="C90">
        <v>99.05</v>
      </c>
      <c r="D90">
        <v>-1.35E-2</v>
      </c>
      <c r="E90">
        <v>-1.702E-2</v>
      </c>
    </row>
    <row r="91" spans="1:5" ht="14.25" customHeight="1">
      <c r="A91" s="140">
        <v>40676</v>
      </c>
      <c r="B91">
        <v>18531.28</v>
      </c>
      <c r="C91">
        <v>99.6</v>
      </c>
      <c r="D91">
        <v>1.061E-2</v>
      </c>
      <c r="E91">
        <v>5.5399999999999998E-3</v>
      </c>
    </row>
    <row r="92" spans="1:5" ht="14.25" customHeight="1">
      <c r="A92" s="140">
        <v>40679</v>
      </c>
      <c r="B92">
        <v>18345.03</v>
      </c>
      <c r="C92">
        <v>100.25</v>
      </c>
      <c r="D92">
        <v>-1.01E-2</v>
      </c>
      <c r="E92">
        <v>6.4999999999999997E-3</v>
      </c>
    </row>
    <row r="93" spans="1:5" ht="14.25" customHeight="1">
      <c r="A93" s="140">
        <v>40680</v>
      </c>
      <c r="B93">
        <v>18137.349999999999</v>
      </c>
      <c r="C93">
        <v>103.75</v>
      </c>
      <c r="D93">
        <v>-1.1390000000000001E-2</v>
      </c>
      <c r="E93">
        <v>3.4320000000000003E-2</v>
      </c>
    </row>
    <row r="94" spans="1:5" ht="14.25" customHeight="1">
      <c r="A94" s="140">
        <v>40681</v>
      </c>
      <c r="B94">
        <v>18086.2</v>
      </c>
      <c r="C94">
        <v>103.65</v>
      </c>
      <c r="D94">
        <v>-2.82E-3</v>
      </c>
      <c r="E94">
        <v>-9.6000000000000002E-4</v>
      </c>
    </row>
    <row r="95" spans="1:5" ht="14.25" customHeight="1">
      <c r="A95" s="140">
        <v>40682</v>
      </c>
      <c r="B95">
        <v>18141.400000000001</v>
      </c>
      <c r="C95">
        <v>103.35</v>
      </c>
      <c r="D95">
        <v>3.0500000000000002E-3</v>
      </c>
      <c r="E95">
        <v>-2.8999999999999998E-3</v>
      </c>
    </row>
    <row r="96" spans="1:5" ht="14.25" customHeight="1">
      <c r="A96" s="140">
        <v>40683</v>
      </c>
      <c r="B96">
        <v>18326.09</v>
      </c>
      <c r="C96">
        <v>103</v>
      </c>
      <c r="D96">
        <v>1.013E-2</v>
      </c>
      <c r="E96">
        <v>-3.3899999999999998E-3</v>
      </c>
    </row>
    <row r="97" spans="1:5" ht="14.25" customHeight="1">
      <c r="A97" s="140">
        <v>40686</v>
      </c>
      <c r="B97">
        <v>17993.330000000002</v>
      </c>
      <c r="C97">
        <v>104.45</v>
      </c>
      <c r="D97">
        <v>-1.8319999999999999E-2</v>
      </c>
      <c r="E97">
        <v>1.3979999999999999E-2</v>
      </c>
    </row>
    <row r="98" spans="1:5" ht="14.25" customHeight="1">
      <c r="A98" s="140">
        <v>40687</v>
      </c>
      <c r="B98">
        <v>18011.97</v>
      </c>
      <c r="C98">
        <v>105.15</v>
      </c>
      <c r="D98">
        <v>1.0399999999999999E-3</v>
      </c>
      <c r="E98">
        <v>6.6800000000000002E-3</v>
      </c>
    </row>
    <row r="99" spans="1:5" ht="14.25" customHeight="1">
      <c r="A99" s="140">
        <v>40688</v>
      </c>
      <c r="B99">
        <v>17847.240000000002</v>
      </c>
      <c r="C99">
        <v>107.3</v>
      </c>
      <c r="D99">
        <v>-9.1900000000000003E-3</v>
      </c>
      <c r="E99">
        <v>2.0240000000000001E-2</v>
      </c>
    </row>
    <row r="100" spans="1:5" ht="14.25" customHeight="1">
      <c r="A100" s="140">
        <v>40689</v>
      </c>
      <c r="B100">
        <v>18044.64</v>
      </c>
      <c r="C100">
        <v>109.2</v>
      </c>
      <c r="D100">
        <v>1.0999999999999999E-2</v>
      </c>
      <c r="E100">
        <v>1.755E-2</v>
      </c>
    </row>
    <row r="101" spans="1:5" ht="14.25" customHeight="1">
      <c r="A101" s="140">
        <v>40690</v>
      </c>
      <c r="B101">
        <v>18266.099999999999</v>
      </c>
      <c r="C101">
        <v>108.15</v>
      </c>
      <c r="D101">
        <v>1.2200000000000001E-2</v>
      </c>
      <c r="E101">
        <v>-9.6600000000000002E-3</v>
      </c>
    </row>
    <row r="102" spans="1:5" ht="14.25" customHeight="1">
      <c r="A102" s="140">
        <v>40693</v>
      </c>
      <c r="B102">
        <v>18232.060000000001</v>
      </c>
      <c r="C102">
        <v>113.05</v>
      </c>
      <c r="D102">
        <v>-1.8699999999999999E-3</v>
      </c>
      <c r="E102">
        <v>4.4310000000000002E-2</v>
      </c>
    </row>
    <row r="103" spans="1:5" ht="14.25" customHeight="1">
      <c r="A103" s="140">
        <v>40694</v>
      </c>
      <c r="B103">
        <v>18503.28</v>
      </c>
      <c r="C103">
        <v>116.85</v>
      </c>
      <c r="D103">
        <v>1.477E-2</v>
      </c>
      <c r="E103">
        <v>3.3059999999999999E-2</v>
      </c>
    </row>
    <row r="104" spans="1:5" ht="14.25" customHeight="1">
      <c r="A104" s="140">
        <v>40695</v>
      </c>
      <c r="B104">
        <v>18608.810000000001</v>
      </c>
      <c r="C104">
        <v>113.7</v>
      </c>
      <c r="D104">
        <v>5.6899999999999997E-3</v>
      </c>
      <c r="E104">
        <v>-2.733E-2</v>
      </c>
    </row>
    <row r="105" spans="1:5" ht="14.25" customHeight="1">
      <c r="A105" s="140">
        <v>40696</v>
      </c>
      <c r="B105">
        <v>18494.18</v>
      </c>
      <c r="C105">
        <v>114.85</v>
      </c>
      <c r="D105">
        <v>-6.1799999999999997E-3</v>
      </c>
      <c r="E105">
        <v>1.0059999999999999E-2</v>
      </c>
    </row>
    <row r="106" spans="1:5" ht="14.25" customHeight="1">
      <c r="A106" s="140">
        <v>40697</v>
      </c>
      <c r="B106">
        <v>18376.48</v>
      </c>
      <c r="C106">
        <v>114.9</v>
      </c>
      <c r="D106">
        <v>-6.3800000000000003E-3</v>
      </c>
      <c r="E106">
        <v>4.4000000000000002E-4</v>
      </c>
    </row>
    <row r="107" spans="1:5" ht="14.25" customHeight="1">
      <c r="A107" s="140">
        <v>40700</v>
      </c>
      <c r="B107">
        <v>18420.11</v>
      </c>
      <c r="C107">
        <v>113.1</v>
      </c>
      <c r="D107">
        <v>2.3700000000000001E-3</v>
      </c>
      <c r="E107">
        <v>-1.5789999999999998E-2</v>
      </c>
    </row>
    <row r="108" spans="1:5" ht="14.25" customHeight="1">
      <c r="A108" s="140">
        <v>40701</v>
      </c>
      <c r="B108">
        <v>18495.62</v>
      </c>
      <c r="C108">
        <v>114.85</v>
      </c>
      <c r="D108">
        <v>4.0899999999999999E-3</v>
      </c>
      <c r="E108">
        <v>1.5350000000000001E-2</v>
      </c>
    </row>
    <row r="109" spans="1:5" ht="14.25" customHeight="1">
      <c r="A109" s="140">
        <v>40702</v>
      </c>
      <c r="B109">
        <v>18394.29</v>
      </c>
      <c r="C109">
        <v>113.55</v>
      </c>
      <c r="D109">
        <v>-5.4900000000000001E-3</v>
      </c>
      <c r="E109">
        <v>-1.1379999999999999E-2</v>
      </c>
    </row>
    <row r="110" spans="1:5" ht="14.25" customHeight="1">
      <c r="A110" s="140">
        <v>40703</v>
      </c>
      <c r="B110">
        <v>18384.900000000001</v>
      </c>
      <c r="C110">
        <v>114.8</v>
      </c>
      <c r="D110">
        <v>-5.1000000000000004E-4</v>
      </c>
      <c r="E110">
        <v>1.095E-2</v>
      </c>
    </row>
    <row r="111" spans="1:5" ht="14.25" customHeight="1">
      <c r="A111" s="140">
        <v>40704</v>
      </c>
      <c r="B111">
        <v>18268.54</v>
      </c>
      <c r="C111">
        <v>114</v>
      </c>
      <c r="D111">
        <v>-6.3499999999999997E-3</v>
      </c>
      <c r="E111">
        <v>-6.9899999999999997E-3</v>
      </c>
    </row>
    <row r="112" spans="1:5" ht="14.25" customHeight="1">
      <c r="A112" s="140">
        <v>40707</v>
      </c>
      <c r="B112">
        <v>18266.03</v>
      </c>
      <c r="C112">
        <v>113.25</v>
      </c>
      <c r="D112">
        <v>-1.3999999999999999E-4</v>
      </c>
      <c r="E112">
        <v>-6.6E-3</v>
      </c>
    </row>
    <row r="113" spans="1:5" ht="14.25" customHeight="1">
      <c r="A113" s="140">
        <v>40708</v>
      </c>
      <c r="B113">
        <v>18308.66</v>
      </c>
      <c r="C113">
        <v>112.95</v>
      </c>
      <c r="D113">
        <v>2.33E-3</v>
      </c>
      <c r="E113">
        <v>-2.65E-3</v>
      </c>
    </row>
    <row r="114" spans="1:5" ht="14.25" customHeight="1">
      <c r="A114" s="140">
        <v>40709</v>
      </c>
      <c r="B114">
        <v>18132.240000000002</v>
      </c>
      <c r="C114">
        <v>116.9</v>
      </c>
      <c r="D114">
        <v>-9.6799999999999994E-3</v>
      </c>
      <c r="E114">
        <v>3.4369999999999998E-2</v>
      </c>
    </row>
    <row r="115" spans="1:5" ht="14.25" customHeight="1">
      <c r="A115" s="140">
        <v>40710</v>
      </c>
      <c r="B115">
        <v>17985.88</v>
      </c>
      <c r="C115">
        <v>118.65</v>
      </c>
      <c r="D115">
        <v>-8.0999999999999996E-3</v>
      </c>
      <c r="E115">
        <v>1.486E-2</v>
      </c>
    </row>
    <row r="116" spans="1:5" ht="14.25" customHeight="1">
      <c r="A116" s="140">
        <v>40711</v>
      </c>
      <c r="B116">
        <v>17870.53</v>
      </c>
      <c r="C116">
        <v>116.45</v>
      </c>
      <c r="D116">
        <v>-6.43E-3</v>
      </c>
      <c r="E116">
        <v>-1.8720000000000001E-2</v>
      </c>
    </row>
    <row r="117" spans="1:5" ht="14.25" customHeight="1">
      <c r="A117" s="140">
        <v>40714</v>
      </c>
      <c r="B117">
        <v>17506.63</v>
      </c>
      <c r="C117">
        <v>114.35</v>
      </c>
      <c r="D117">
        <v>-2.0570000000000001E-2</v>
      </c>
      <c r="E117">
        <v>-1.8200000000000001E-2</v>
      </c>
    </row>
    <row r="118" spans="1:5" ht="14.25" customHeight="1">
      <c r="A118" s="140">
        <v>40715</v>
      </c>
      <c r="B118">
        <v>17560.3</v>
      </c>
      <c r="C118">
        <v>113.9</v>
      </c>
      <c r="D118">
        <v>3.0599999999999998E-3</v>
      </c>
      <c r="E118">
        <v>-3.9399999999999999E-3</v>
      </c>
    </row>
    <row r="119" spans="1:5" ht="14.25" customHeight="1">
      <c r="A119" s="140">
        <v>40716</v>
      </c>
      <c r="B119">
        <v>17550.63</v>
      </c>
      <c r="C119">
        <v>111.8</v>
      </c>
      <c r="D119">
        <v>-5.5000000000000003E-4</v>
      </c>
      <c r="E119">
        <v>-1.8610000000000002E-2</v>
      </c>
    </row>
    <row r="120" spans="1:5" ht="14.25" customHeight="1">
      <c r="A120" s="140">
        <v>40717</v>
      </c>
      <c r="B120">
        <v>17727.490000000002</v>
      </c>
      <c r="C120">
        <v>113.45</v>
      </c>
      <c r="D120">
        <v>1.0030000000000001E-2</v>
      </c>
      <c r="E120">
        <v>1.465E-2</v>
      </c>
    </row>
    <row r="121" spans="1:5" ht="14.25" customHeight="1">
      <c r="A121" s="140">
        <v>40718</v>
      </c>
      <c r="B121">
        <v>18240.68</v>
      </c>
      <c r="C121">
        <v>113.8</v>
      </c>
      <c r="D121">
        <v>2.8539999999999999E-2</v>
      </c>
      <c r="E121">
        <v>3.0799999999999998E-3</v>
      </c>
    </row>
    <row r="122" spans="1:5" ht="14.25" customHeight="1">
      <c r="A122" s="140">
        <v>40721</v>
      </c>
      <c r="B122">
        <v>18412.41</v>
      </c>
      <c r="C122">
        <v>113.85</v>
      </c>
      <c r="D122">
        <v>9.3699999999999999E-3</v>
      </c>
      <c r="E122">
        <v>4.4000000000000002E-4</v>
      </c>
    </row>
    <row r="123" spans="1:5" ht="14.25" customHeight="1">
      <c r="A123" s="140">
        <v>40722</v>
      </c>
      <c r="B123">
        <v>18492.45</v>
      </c>
      <c r="C123">
        <v>113.9</v>
      </c>
      <c r="D123">
        <v>4.3400000000000001E-3</v>
      </c>
      <c r="E123">
        <v>4.4000000000000002E-4</v>
      </c>
    </row>
    <row r="124" spans="1:5" ht="14.25" customHeight="1">
      <c r="A124" s="140">
        <v>40723</v>
      </c>
      <c r="B124">
        <v>18693.86</v>
      </c>
      <c r="C124">
        <v>114.45</v>
      </c>
      <c r="D124">
        <v>1.0829999999999999E-2</v>
      </c>
      <c r="E124">
        <v>4.8199999999999996E-3</v>
      </c>
    </row>
    <row r="125" spans="1:5" ht="14.25" customHeight="1">
      <c r="A125" s="140">
        <v>40724</v>
      </c>
      <c r="B125">
        <v>18845.87</v>
      </c>
      <c r="C125">
        <v>114.05</v>
      </c>
      <c r="D125">
        <v>8.0999999999999996E-3</v>
      </c>
      <c r="E125">
        <v>-3.5000000000000001E-3</v>
      </c>
    </row>
    <row r="126" spans="1:5" ht="14.25" customHeight="1">
      <c r="A126" s="140">
        <v>40725</v>
      </c>
      <c r="B126">
        <v>18762.8</v>
      </c>
      <c r="C126">
        <v>116.45</v>
      </c>
      <c r="D126">
        <v>-4.4200000000000003E-3</v>
      </c>
      <c r="E126">
        <v>2.0830000000000001E-2</v>
      </c>
    </row>
    <row r="127" spans="1:5" ht="14.25" customHeight="1">
      <c r="A127" s="140">
        <v>40728</v>
      </c>
      <c r="B127">
        <v>18814.48</v>
      </c>
      <c r="C127">
        <v>116.45</v>
      </c>
      <c r="D127">
        <v>2.7499999999999998E-3</v>
      </c>
      <c r="E127">
        <v>0</v>
      </c>
    </row>
    <row r="128" spans="1:5" ht="14.25" customHeight="1">
      <c r="A128" s="140">
        <v>40729</v>
      </c>
      <c r="B128">
        <v>18744.560000000001</v>
      </c>
      <c r="C128">
        <v>114.1</v>
      </c>
      <c r="D128">
        <v>-3.7200000000000002E-3</v>
      </c>
      <c r="E128">
        <v>-2.0389999999999998E-2</v>
      </c>
    </row>
    <row r="129" spans="1:5" ht="14.25" customHeight="1">
      <c r="A129" s="140">
        <v>40730</v>
      </c>
      <c r="B129">
        <v>18726.97</v>
      </c>
      <c r="C129">
        <v>112</v>
      </c>
      <c r="D129">
        <v>-9.3999999999999997E-4</v>
      </c>
      <c r="E129">
        <v>-1.8579999999999999E-2</v>
      </c>
    </row>
    <row r="130" spans="1:5" ht="14.25" customHeight="1">
      <c r="A130" s="140">
        <v>40731</v>
      </c>
      <c r="B130">
        <v>19078.3</v>
      </c>
      <c r="C130">
        <v>113.4</v>
      </c>
      <c r="D130">
        <v>1.8589999999999999E-2</v>
      </c>
      <c r="E130">
        <v>1.242E-2</v>
      </c>
    </row>
    <row r="131" spans="1:5" ht="14.25" customHeight="1">
      <c r="A131" s="140">
        <v>40732</v>
      </c>
      <c r="B131">
        <v>18858.04</v>
      </c>
      <c r="C131">
        <v>111.75</v>
      </c>
      <c r="D131">
        <v>-1.1610000000000001E-2</v>
      </c>
      <c r="E131">
        <v>-1.4659999999999999E-2</v>
      </c>
    </row>
    <row r="132" spans="1:5" ht="14.25" customHeight="1">
      <c r="A132" s="140">
        <v>40735</v>
      </c>
      <c r="B132">
        <v>18721.39</v>
      </c>
      <c r="C132">
        <v>110.4</v>
      </c>
      <c r="D132">
        <v>-7.2700000000000004E-3</v>
      </c>
      <c r="E132">
        <v>-1.2149999999999999E-2</v>
      </c>
    </row>
    <row r="133" spans="1:5" ht="14.25" customHeight="1">
      <c r="A133" s="140">
        <v>40736</v>
      </c>
      <c r="B133">
        <v>18411.62</v>
      </c>
      <c r="C133">
        <v>110.4</v>
      </c>
      <c r="D133">
        <v>-1.668E-2</v>
      </c>
      <c r="E133">
        <v>0</v>
      </c>
    </row>
    <row r="134" spans="1:5" ht="14.25" customHeight="1">
      <c r="A134" s="140">
        <v>40737</v>
      </c>
      <c r="B134">
        <v>18596.02</v>
      </c>
      <c r="C134">
        <v>110.8</v>
      </c>
      <c r="D134">
        <v>9.9699999999999997E-3</v>
      </c>
      <c r="E134">
        <v>3.62E-3</v>
      </c>
    </row>
    <row r="135" spans="1:5" ht="14.25" customHeight="1">
      <c r="A135" s="140">
        <v>40738</v>
      </c>
      <c r="B135">
        <v>18618.2</v>
      </c>
      <c r="C135">
        <v>111.85</v>
      </c>
      <c r="D135">
        <v>1.1900000000000001E-3</v>
      </c>
      <c r="E135">
        <v>9.4299999999999991E-3</v>
      </c>
    </row>
    <row r="136" spans="1:5" ht="14.25" customHeight="1">
      <c r="A136" s="140">
        <v>40739</v>
      </c>
      <c r="B136">
        <v>18561.919999999998</v>
      </c>
      <c r="C136">
        <v>111.75</v>
      </c>
      <c r="D136">
        <v>-3.0300000000000001E-3</v>
      </c>
      <c r="E136">
        <v>-8.8999999999999995E-4</v>
      </c>
    </row>
    <row r="137" spans="1:5" ht="14.25" customHeight="1">
      <c r="A137" s="140">
        <v>40742</v>
      </c>
      <c r="B137">
        <v>18507.04</v>
      </c>
      <c r="C137">
        <v>111.35</v>
      </c>
      <c r="D137">
        <v>-2.96E-3</v>
      </c>
      <c r="E137">
        <v>-3.5899999999999999E-3</v>
      </c>
    </row>
    <row r="138" spans="1:5" ht="14.25" customHeight="1">
      <c r="A138" s="140">
        <v>40743</v>
      </c>
      <c r="B138">
        <v>18653.87</v>
      </c>
      <c r="C138">
        <v>111.5</v>
      </c>
      <c r="D138">
        <v>7.9000000000000008E-3</v>
      </c>
      <c r="E138">
        <v>1.3500000000000001E-3</v>
      </c>
    </row>
    <row r="139" spans="1:5" ht="14.25" customHeight="1">
      <c r="A139" s="140">
        <v>40744</v>
      </c>
      <c r="B139">
        <v>18502.38</v>
      </c>
      <c r="C139">
        <v>110.85</v>
      </c>
      <c r="D139">
        <v>-8.1499999999999993E-3</v>
      </c>
      <c r="E139">
        <v>-5.8500000000000002E-3</v>
      </c>
    </row>
    <row r="140" spans="1:5" ht="14.25" customHeight="1">
      <c r="A140" s="140">
        <v>40745</v>
      </c>
      <c r="B140">
        <v>18436.189999999999</v>
      </c>
      <c r="C140">
        <v>110.2</v>
      </c>
      <c r="D140">
        <v>-3.5799999999999998E-3</v>
      </c>
      <c r="E140">
        <v>-5.8799999999999998E-3</v>
      </c>
    </row>
    <row r="141" spans="1:5" ht="14.25" customHeight="1">
      <c r="A141" s="140">
        <v>40746</v>
      </c>
      <c r="B141">
        <v>18722.3</v>
      </c>
      <c r="C141">
        <v>111.5</v>
      </c>
      <c r="D141">
        <v>1.54E-2</v>
      </c>
      <c r="E141">
        <v>1.1730000000000001E-2</v>
      </c>
    </row>
    <row r="142" spans="1:5" ht="14.25" customHeight="1">
      <c r="A142" s="140">
        <v>40749</v>
      </c>
      <c r="B142">
        <v>18871.29</v>
      </c>
      <c r="C142">
        <v>111.6</v>
      </c>
      <c r="D142">
        <v>7.9299999999999995E-3</v>
      </c>
      <c r="E142">
        <v>8.9999999999999998E-4</v>
      </c>
    </row>
    <row r="143" spans="1:5" ht="14.25" customHeight="1">
      <c r="A143" s="140">
        <v>40750</v>
      </c>
      <c r="B143">
        <v>18518.22</v>
      </c>
      <c r="C143">
        <v>110.25</v>
      </c>
      <c r="D143">
        <v>-1.8890000000000001E-2</v>
      </c>
      <c r="E143">
        <v>-1.217E-2</v>
      </c>
    </row>
    <row r="144" spans="1:5" ht="14.25" customHeight="1">
      <c r="A144" s="140">
        <v>40751</v>
      </c>
      <c r="B144">
        <v>18432.25</v>
      </c>
      <c r="C144">
        <v>110.5</v>
      </c>
      <c r="D144">
        <v>-4.6499999999999996E-3</v>
      </c>
      <c r="E144">
        <v>2.2699999999999999E-3</v>
      </c>
    </row>
    <row r="145" spans="1:5" ht="14.25" customHeight="1">
      <c r="A145" s="140">
        <v>40752</v>
      </c>
      <c r="B145">
        <v>18209.52</v>
      </c>
      <c r="C145">
        <v>106.45</v>
      </c>
      <c r="D145">
        <v>-1.2160000000000001E-2</v>
      </c>
      <c r="E145">
        <v>-3.7339999999999998E-2</v>
      </c>
    </row>
    <row r="146" spans="1:5" ht="14.25" customHeight="1">
      <c r="A146" s="140">
        <v>40753</v>
      </c>
      <c r="B146">
        <v>18197.2</v>
      </c>
      <c r="C146">
        <v>104.25</v>
      </c>
      <c r="D146">
        <v>-6.8000000000000005E-4</v>
      </c>
      <c r="E146">
        <v>-2.0879999999999999E-2</v>
      </c>
    </row>
    <row r="147" spans="1:5" ht="14.25" customHeight="1">
      <c r="A147" s="140">
        <v>40756</v>
      </c>
      <c r="B147">
        <v>18314.330000000002</v>
      </c>
      <c r="C147">
        <v>107.3</v>
      </c>
      <c r="D147">
        <v>6.4200000000000004E-3</v>
      </c>
      <c r="E147">
        <v>2.8840000000000001E-2</v>
      </c>
    </row>
    <row r="148" spans="1:5" ht="14.25" customHeight="1">
      <c r="A148" s="140">
        <v>40757</v>
      </c>
      <c r="B148">
        <v>18109.89</v>
      </c>
      <c r="C148">
        <v>107.7</v>
      </c>
      <c r="D148">
        <v>-1.123E-2</v>
      </c>
      <c r="E148">
        <v>3.7200000000000002E-3</v>
      </c>
    </row>
    <row r="149" spans="1:5" ht="14.25" customHeight="1">
      <c r="A149" s="140">
        <v>40758</v>
      </c>
      <c r="B149">
        <v>17940.55</v>
      </c>
      <c r="C149">
        <v>105.6</v>
      </c>
      <c r="D149">
        <v>-9.3900000000000008E-3</v>
      </c>
      <c r="E149">
        <v>-1.9689999999999999E-2</v>
      </c>
    </row>
    <row r="150" spans="1:5" ht="14.25" customHeight="1">
      <c r="A150" s="140">
        <v>40759</v>
      </c>
      <c r="B150">
        <v>17693.18</v>
      </c>
      <c r="C150">
        <v>103.85</v>
      </c>
      <c r="D150">
        <v>-1.388E-2</v>
      </c>
      <c r="E150">
        <v>-1.6709999999999999E-2</v>
      </c>
    </row>
    <row r="151" spans="1:5" ht="14.25" customHeight="1">
      <c r="A151" s="140">
        <v>40760</v>
      </c>
      <c r="B151">
        <v>17305.87</v>
      </c>
      <c r="C151">
        <v>101.4</v>
      </c>
      <c r="D151">
        <v>-2.213E-2</v>
      </c>
      <c r="E151">
        <v>-2.3869999999999999E-2</v>
      </c>
    </row>
    <row r="152" spans="1:5" ht="14.25" customHeight="1">
      <c r="A152" s="140">
        <v>40763</v>
      </c>
      <c r="B152">
        <v>16990.18</v>
      </c>
      <c r="C152">
        <v>102.75</v>
      </c>
      <c r="D152">
        <v>-1.8409999999999999E-2</v>
      </c>
      <c r="E152">
        <v>1.323E-2</v>
      </c>
    </row>
    <row r="153" spans="1:5" ht="14.25" customHeight="1">
      <c r="A153" s="140">
        <v>40764</v>
      </c>
      <c r="B153">
        <v>16857.91</v>
      </c>
      <c r="C153">
        <v>103.35</v>
      </c>
      <c r="D153">
        <v>-7.8200000000000006E-3</v>
      </c>
      <c r="E153">
        <v>5.8199999999999997E-3</v>
      </c>
    </row>
    <row r="154" spans="1:5" ht="14.25" customHeight="1">
      <c r="A154" s="140">
        <v>40765</v>
      </c>
      <c r="B154">
        <v>17130.509999999998</v>
      </c>
      <c r="C154">
        <v>103</v>
      </c>
      <c r="D154">
        <v>1.6039999999999999E-2</v>
      </c>
      <c r="E154">
        <v>-3.3899999999999998E-3</v>
      </c>
    </row>
    <row r="155" spans="1:5" ht="14.25" customHeight="1">
      <c r="A155" s="140">
        <v>40766</v>
      </c>
      <c r="B155">
        <v>17059.400000000001</v>
      </c>
      <c r="C155">
        <v>101.4</v>
      </c>
      <c r="D155">
        <v>-4.1599999999999996E-3</v>
      </c>
      <c r="E155">
        <v>-1.566E-2</v>
      </c>
    </row>
    <row r="156" spans="1:5" ht="14.25" customHeight="1">
      <c r="A156" s="140">
        <v>40767</v>
      </c>
      <c r="B156">
        <v>16839.63</v>
      </c>
      <c r="C156">
        <v>101.1</v>
      </c>
      <c r="D156">
        <v>-1.2970000000000001E-2</v>
      </c>
      <c r="E156">
        <v>-2.96E-3</v>
      </c>
    </row>
    <row r="157" spans="1:5" ht="14.25" customHeight="1">
      <c r="A157" s="140">
        <v>40771</v>
      </c>
      <c r="B157">
        <v>16730.939999999999</v>
      </c>
      <c r="C157">
        <v>101.95</v>
      </c>
      <c r="D157">
        <v>-6.4799999999999996E-3</v>
      </c>
      <c r="E157">
        <v>8.3700000000000007E-3</v>
      </c>
    </row>
    <row r="158" spans="1:5" ht="14.25" customHeight="1">
      <c r="A158" s="140">
        <v>40772</v>
      </c>
      <c r="B158">
        <v>16840.8</v>
      </c>
      <c r="C158">
        <v>103.75</v>
      </c>
      <c r="D158">
        <v>6.5399999999999998E-3</v>
      </c>
      <c r="E158">
        <v>1.7500000000000002E-2</v>
      </c>
    </row>
    <row r="159" spans="1:5" ht="14.25" customHeight="1">
      <c r="A159" s="140">
        <v>40773</v>
      </c>
      <c r="B159">
        <v>16469.79</v>
      </c>
      <c r="C159">
        <v>104.9</v>
      </c>
      <c r="D159">
        <v>-2.2280000000000001E-2</v>
      </c>
      <c r="E159">
        <v>1.102E-2</v>
      </c>
    </row>
    <row r="160" spans="1:5" ht="14.25" customHeight="1">
      <c r="A160" s="140">
        <v>40774</v>
      </c>
      <c r="B160">
        <v>16141.67</v>
      </c>
      <c r="C160">
        <v>103.8</v>
      </c>
      <c r="D160">
        <v>-2.0119999999999999E-2</v>
      </c>
      <c r="E160">
        <v>-1.0540000000000001E-2</v>
      </c>
    </row>
    <row r="161" spans="1:5" ht="14.25" customHeight="1">
      <c r="A161" s="140">
        <v>40777</v>
      </c>
      <c r="B161">
        <v>16341.7</v>
      </c>
      <c r="C161">
        <v>106.75</v>
      </c>
      <c r="D161">
        <v>1.2319999999999999E-2</v>
      </c>
      <c r="E161">
        <v>2.802E-2</v>
      </c>
    </row>
    <row r="162" spans="1:5" ht="14.25" customHeight="1">
      <c r="A162" s="140">
        <v>40778</v>
      </c>
      <c r="B162">
        <v>16498.47</v>
      </c>
      <c r="C162">
        <v>105.35</v>
      </c>
      <c r="D162">
        <v>9.5499999999999995E-3</v>
      </c>
      <c r="E162">
        <v>-1.32E-2</v>
      </c>
    </row>
    <row r="163" spans="1:5" ht="14.25" customHeight="1">
      <c r="A163" s="140">
        <v>40779</v>
      </c>
      <c r="B163">
        <v>16284.98</v>
      </c>
      <c r="C163">
        <v>106.1</v>
      </c>
      <c r="D163">
        <v>-1.302E-2</v>
      </c>
      <c r="E163">
        <v>7.0899999999999999E-3</v>
      </c>
    </row>
    <row r="164" spans="1:5" ht="14.25" customHeight="1">
      <c r="A164" s="140">
        <v>40780</v>
      </c>
      <c r="B164">
        <v>16146.33</v>
      </c>
      <c r="C164">
        <v>107.05</v>
      </c>
      <c r="D164">
        <v>-8.5500000000000003E-3</v>
      </c>
      <c r="E164">
        <v>8.9099999999999995E-3</v>
      </c>
    </row>
    <row r="165" spans="1:5" ht="14.25" customHeight="1">
      <c r="A165" s="140">
        <v>40781</v>
      </c>
      <c r="B165">
        <v>15848.83</v>
      </c>
      <c r="C165">
        <v>107.65</v>
      </c>
      <c r="D165">
        <v>-1.8599999999999998E-2</v>
      </c>
      <c r="E165">
        <v>5.5900000000000004E-3</v>
      </c>
    </row>
    <row r="166" spans="1:5" ht="14.25" customHeight="1">
      <c r="A166" s="140">
        <v>40784</v>
      </c>
      <c r="B166">
        <v>16416.330000000002</v>
      </c>
      <c r="C166">
        <v>109.25</v>
      </c>
      <c r="D166">
        <v>3.5180000000000003E-2</v>
      </c>
      <c r="E166">
        <v>1.4749999999999999E-2</v>
      </c>
    </row>
    <row r="167" spans="1:5" ht="14.25" customHeight="1">
      <c r="A167" s="140">
        <v>40785</v>
      </c>
      <c r="B167">
        <v>16676.75</v>
      </c>
      <c r="C167">
        <v>110.5</v>
      </c>
      <c r="D167">
        <v>1.5740000000000001E-2</v>
      </c>
      <c r="E167">
        <v>1.1379999999999999E-2</v>
      </c>
    </row>
    <row r="168" spans="1:5" ht="14.25" customHeight="1">
      <c r="A168" s="140">
        <v>40788</v>
      </c>
      <c r="B168">
        <v>16821.46</v>
      </c>
      <c r="C168">
        <v>112.05</v>
      </c>
      <c r="D168">
        <v>8.6400000000000001E-3</v>
      </c>
      <c r="E168">
        <v>1.393E-2</v>
      </c>
    </row>
    <row r="169" spans="1:5" ht="14.25" customHeight="1">
      <c r="A169" s="140">
        <v>40791</v>
      </c>
      <c r="B169">
        <v>16713.330000000002</v>
      </c>
      <c r="C169">
        <v>108.1</v>
      </c>
      <c r="D169">
        <v>-6.45E-3</v>
      </c>
      <c r="E169">
        <v>-3.5889999999999998E-2</v>
      </c>
    </row>
    <row r="170" spans="1:5" ht="14.25" customHeight="1">
      <c r="A170" s="140">
        <v>40792</v>
      </c>
      <c r="B170">
        <v>16862.810000000001</v>
      </c>
      <c r="C170">
        <v>106.65</v>
      </c>
      <c r="D170">
        <v>8.8999999999999999E-3</v>
      </c>
      <c r="E170">
        <v>-1.35E-2</v>
      </c>
    </row>
    <row r="171" spans="1:5" ht="14.25" customHeight="1">
      <c r="A171" s="140">
        <v>40793</v>
      </c>
      <c r="B171">
        <v>17065</v>
      </c>
      <c r="C171">
        <v>107.05</v>
      </c>
      <c r="D171">
        <v>1.192E-2</v>
      </c>
      <c r="E171">
        <v>3.7399999999999998E-3</v>
      </c>
    </row>
    <row r="172" spans="1:5" ht="14.25" customHeight="1">
      <c r="A172" s="140">
        <v>40794</v>
      </c>
      <c r="B172">
        <v>17165.54</v>
      </c>
      <c r="C172">
        <v>108.1</v>
      </c>
      <c r="D172">
        <v>5.8700000000000002E-3</v>
      </c>
      <c r="E172">
        <v>9.7599999999999996E-3</v>
      </c>
    </row>
    <row r="173" spans="1:5" ht="14.25" customHeight="1">
      <c r="A173" s="140">
        <v>40795</v>
      </c>
      <c r="B173">
        <v>16866.97</v>
      </c>
      <c r="C173">
        <v>109.2</v>
      </c>
      <c r="D173">
        <v>-1.755E-2</v>
      </c>
      <c r="E173">
        <v>1.0120000000000001E-2</v>
      </c>
    </row>
    <row r="174" spans="1:5" ht="14.25" customHeight="1">
      <c r="A174" s="140">
        <v>40798</v>
      </c>
      <c r="B174">
        <v>16501.740000000002</v>
      </c>
      <c r="C174">
        <v>108.95</v>
      </c>
      <c r="D174">
        <v>-2.189E-2</v>
      </c>
      <c r="E174">
        <v>-2.2899999999999999E-3</v>
      </c>
    </row>
    <row r="175" spans="1:5" ht="14.25" customHeight="1">
      <c r="A175" s="140">
        <v>40799</v>
      </c>
      <c r="B175">
        <v>16467.439999999999</v>
      </c>
      <c r="C175">
        <v>106.35</v>
      </c>
      <c r="D175">
        <v>-2.0799999999999998E-3</v>
      </c>
      <c r="E175">
        <v>-2.4150000000000001E-2</v>
      </c>
    </row>
    <row r="176" spans="1:5" ht="14.25" customHeight="1">
      <c r="A176" s="140">
        <v>40800</v>
      </c>
      <c r="B176">
        <v>16709.599999999999</v>
      </c>
      <c r="C176">
        <v>108</v>
      </c>
      <c r="D176">
        <v>1.46E-2</v>
      </c>
      <c r="E176">
        <v>1.54E-2</v>
      </c>
    </row>
    <row r="177" spans="1:5" ht="14.25" customHeight="1">
      <c r="A177" s="140">
        <v>40801</v>
      </c>
      <c r="B177">
        <v>16876.54</v>
      </c>
      <c r="C177">
        <v>106.65</v>
      </c>
      <c r="D177">
        <v>9.9399999999999992E-3</v>
      </c>
      <c r="E177">
        <v>-1.2579999999999999E-2</v>
      </c>
    </row>
    <row r="178" spans="1:5" ht="14.25" customHeight="1">
      <c r="A178" s="140">
        <v>40802</v>
      </c>
      <c r="B178">
        <v>16933.830000000002</v>
      </c>
      <c r="C178">
        <v>103.1</v>
      </c>
      <c r="D178">
        <v>3.3899999999999998E-3</v>
      </c>
      <c r="E178">
        <v>-3.3849999999999998E-2</v>
      </c>
    </row>
    <row r="179" spans="1:5" ht="14.25" customHeight="1">
      <c r="A179" s="140">
        <v>40805</v>
      </c>
      <c r="B179">
        <v>16745.349999999999</v>
      </c>
      <c r="C179">
        <v>103.8</v>
      </c>
      <c r="D179">
        <v>-1.119E-2</v>
      </c>
      <c r="E179">
        <v>6.77E-3</v>
      </c>
    </row>
    <row r="180" spans="1:5" ht="14.25" customHeight="1">
      <c r="A180" s="140">
        <v>40806</v>
      </c>
      <c r="B180">
        <v>17099.28</v>
      </c>
      <c r="C180">
        <v>104.7</v>
      </c>
      <c r="D180">
        <v>2.0920000000000001E-2</v>
      </c>
      <c r="E180">
        <v>8.6300000000000005E-3</v>
      </c>
    </row>
    <row r="181" spans="1:5" ht="14.25" customHeight="1">
      <c r="A181" s="140">
        <v>40807</v>
      </c>
      <c r="B181">
        <v>17065.150000000001</v>
      </c>
      <c r="C181">
        <v>106.7</v>
      </c>
      <c r="D181">
        <v>-2E-3</v>
      </c>
      <c r="E181">
        <v>1.8919999999999999E-2</v>
      </c>
    </row>
    <row r="182" spans="1:5" ht="14.25" customHeight="1">
      <c r="A182" s="140">
        <v>40808</v>
      </c>
      <c r="B182">
        <v>16361.15</v>
      </c>
      <c r="C182">
        <v>104.2</v>
      </c>
      <c r="D182">
        <v>-4.2130000000000001E-2</v>
      </c>
      <c r="E182">
        <v>-2.3709999999999998E-2</v>
      </c>
    </row>
    <row r="183" spans="1:5" ht="14.25" customHeight="1">
      <c r="A183" s="140">
        <v>40809</v>
      </c>
      <c r="B183">
        <v>16162.06</v>
      </c>
      <c r="C183">
        <v>102.7</v>
      </c>
      <c r="D183">
        <v>-1.2239999999999999E-2</v>
      </c>
      <c r="E183">
        <v>-1.4500000000000001E-2</v>
      </c>
    </row>
    <row r="184" spans="1:5" ht="14.25" customHeight="1">
      <c r="A184" s="140">
        <v>40812</v>
      </c>
      <c r="B184">
        <v>16051.1</v>
      </c>
      <c r="C184">
        <v>101.4</v>
      </c>
      <c r="D184">
        <v>-6.8900000000000003E-3</v>
      </c>
      <c r="E184">
        <v>-1.274E-2</v>
      </c>
    </row>
    <row r="185" spans="1:5" ht="14.25" customHeight="1">
      <c r="A185" s="140">
        <v>40813</v>
      </c>
      <c r="B185">
        <v>16524.03</v>
      </c>
      <c r="C185">
        <v>102.6</v>
      </c>
      <c r="D185">
        <v>2.904E-2</v>
      </c>
      <c r="E185">
        <v>1.176E-2</v>
      </c>
    </row>
    <row r="186" spans="1:5" ht="14.25" customHeight="1">
      <c r="A186" s="140">
        <v>40814</v>
      </c>
      <c r="B186">
        <v>16446.02</v>
      </c>
      <c r="C186">
        <v>102.1</v>
      </c>
      <c r="D186">
        <v>-4.7299999999999998E-3</v>
      </c>
      <c r="E186">
        <v>-4.8900000000000002E-3</v>
      </c>
    </row>
    <row r="187" spans="1:5" ht="14.25" customHeight="1">
      <c r="A187" s="140">
        <v>40815</v>
      </c>
      <c r="B187">
        <v>16698.07</v>
      </c>
      <c r="C187">
        <v>101.85</v>
      </c>
      <c r="D187">
        <v>1.521E-2</v>
      </c>
      <c r="E187">
        <v>-2.4499999999999999E-3</v>
      </c>
    </row>
    <row r="188" spans="1:5" ht="14.25" customHeight="1">
      <c r="A188" s="140">
        <v>40816</v>
      </c>
      <c r="B188">
        <v>16453.759999999998</v>
      </c>
      <c r="C188">
        <v>102.7</v>
      </c>
      <c r="D188">
        <v>-1.474E-2</v>
      </c>
      <c r="E188">
        <v>8.3099999999999997E-3</v>
      </c>
    </row>
    <row r="189" spans="1:5" ht="14.25" customHeight="1">
      <c r="A189" s="140">
        <v>40819</v>
      </c>
      <c r="B189">
        <v>16151.45</v>
      </c>
      <c r="C189">
        <v>103.1</v>
      </c>
      <c r="D189">
        <v>-1.8540000000000001E-2</v>
      </c>
      <c r="E189">
        <v>3.8899999999999998E-3</v>
      </c>
    </row>
    <row r="190" spans="1:5" ht="14.25" customHeight="1">
      <c r="A190" s="140">
        <v>40820</v>
      </c>
      <c r="B190">
        <v>15864.86</v>
      </c>
      <c r="C190">
        <v>101.85</v>
      </c>
      <c r="D190">
        <v>-1.7899999999999999E-2</v>
      </c>
      <c r="E190">
        <v>-1.2200000000000001E-2</v>
      </c>
    </row>
    <row r="191" spans="1:5" ht="14.25" customHeight="1">
      <c r="A191" s="140">
        <v>40821</v>
      </c>
      <c r="B191">
        <v>15792.41</v>
      </c>
      <c r="C191">
        <v>100.1</v>
      </c>
      <c r="D191">
        <v>-4.5799999999999999E-3</v>
      </c>
      <c r="E191">
        <v>-1.7330000000000002E-2</v>
      </c>
    </row>
    <row r="192" spans="1:5" ht="14.25" customHeight="1">
      <c r="A192" s="140">
        <v>40823</v>
      </c>
      <c r="B192">
        <v>16232.54</v>
      </c>
      <c r="C192">
        <v>100.75</v>
      </c>
      <c r="D192">
        <v>2.7490000000000001E-2</v>
      </c>
      <c r="E192">
        <v>6.4700000000000001E-3</v>
      </c>
    </row>
    <row r="193" spans="1:5" ht="14.25" customHeight="1">
      <c r="A193" s="140">
        <v>40826</v>
      </c>
      <c r="B193">
        <v>16557.23</v>
      </c>
      <c r="C193">
        <v>99.8</v>
      </c>
      <c r="D193">
        <v>1.9800000000000002E-2</v>
      </c>
      <c r="E193">
        <v>-9.4699999999999993E-3</v>
      </c>
    </row>
    <row r="194" spans="1:5" ht="14.25" customHeight="1">
      <c r="A194" s="140">
        <v>40827</v>
      </c>
      <c r="B194">
        <v>16536.47</v>
      </c>
      <c r="C194">
        <v>100.3</v>
      </c>
      <c r="D194">
        <v>-1.25E-3</v>
      </c>
      <c r="E194">
        <v>5.0000000000000001E-3</v>
      </c>
    </row>
    <row r="195" spans="1:5" ht="14.25" customHeight="1">
      <c r="A195" s="140">
        <v>40828</v>
      </c>
      <c r="B195">
        <v>16958.39</v>
      </c>
      <c r="C195">
        <v>100.55</v>
      </c>
      <c r="D195">
        <v>2.5190000000000001E-2</v>
      </c>
      <c r="E195">
        <v>2.49E-3</v>
      </c>
    </row>
    <row r="196" spans="1:5" ht="14.25" customHeight="1">
      <c r="A196" s="140">
        <v>40829</v>
      </c>
      <c r="B196">
        <v>16883.919999999998</v>
      </c>
      <c r="C196">
        <v>99.95</v>
      </c>
      <c r="D196">
        <v>-4.4000000000000003E-3</v>
      </c>
      <c r="E196">
        <v>-5.9899999999999997E-3</v>
      </c>
    </row>
    <row r="197" spans="1:5" ht="14.25" customHeight="1">
      <c r="A197" s="140">
        <v>40830</v>
      </c>
      <c r="B197">
        <v>17082.689999999999</v>
      </c>
      <c r="C197">
        <v>100.1</v>
      </c>
      <c r="D197">
        <v>1.17E-2</v>
      </c>
      <c r="E197">
        <v>1.5E-3</v>
      </c>
    </row>
    <row r="198" spans="1:5" ht="14.25" customHeight="1">
      <c r="A198" s="140">
        <v>40833</v>
      </c>
      <c r="B198">
        <v>17025.09</v>
      </c>
      <c r="C198">
        <v>99.6</v>
      </c>
      <c r="D198">
        <v>-3.3800000000000002E-3</v>
      </c>
      <c r="E198">
        <v>-5.0099999999999997E-3</v>
      </c>
    </row>
    <row r="199" spans="1:5" ht="14.25" customHeight="1">
      <c r="A199" s="140">
        <v>40834</v>
      </c>
      <c r="B199">
        <v>16748.29</v>
      </c>
      <c r="C199">
        <v>97.35</v>
      </c>
      <c r="D199">
        <v>-1.6389999999999998E-2</v>
      </c>
      <c r="E199">
        <v>-2.2849999999999999E-2</v>
      </c>
    </row>
    <row r="200" spans="1:5" ht="14.25" customHeight="1">
      <c r="A200" s="140">
        <v>40835</v>
      </c>
      <c r="B200">
        <v>17085.34</v>
      </c>
      <c r="C200">
        <v>99.2</v>
      </c>
      <c r="D200">
        <v>1.992E-2</v>
      </c>
      <c r="E200">
        <v>1.883E-2</v>
      </c>
    </row>
    <row r="201" spans="1:5" ht="14.25" customHeight="1">
      <c r="A201" s="140">
        <v>40836</v>
      </c>
      <c r="B201">
        <v>16936.89</v>
      </c>
      <c r="C201">
        <v>98.2</v>
      </c>
      <c r="D201">
        <v>-8.7299999999999999E-3</v>
      </c>
      <c r="E201">
        <v>-1.013E-2</v>
      </c>
    </row>
    <row r="202" spans="1:5" ht="14.25" customHeight="1">
      <c r="A202" s="140">
        <v>40837</v>
      </c>
      <c r="B202">
        <v>16785.64</v>
      </c>
      <c r="C202">
        <v>98.8</v>
      </c>
      <c r="D202">
        <v>-8.9700000000000005E-3</v>
      </c>
      <c r="E202">
        <v>6.0899999999999999E-3</v>
      </c>
    </row>
    <row r="203" spans="1:5" ht="14.25" customHeight="1">
      <c r="A203" s="140">
        <v>40840</v>
      </c>
      <c r="B203">
        <v>16939.28</v>
      </c>
      <c r="C203">
        <v>97.75</v>
      </c>
      <c r="D203">
        <v>9.11E-3</v>
      </c>
      <c r="E203">
        <v>-1.068E-2</v>
      </c>
    </row>
    <row r="204" spans="1:5" ht="14.25" customHeight="1">
      <c r="A204" s="140">
        <v>40841</v>
      </c>
      <c r="B204">
        <v>17254.86</v>
      </c>
      <c r="C204">
        <v>96</v>
      </c>
      <c r="D204">
        <v>1.8460000000000001E-2</v>
      </c>
      <c r="E204">
        <v>-1.8069999999999999E-2</v>
      </c>
    </row>
    <row r="205" spans="1:5" ht="14.25" customHeight="1">
      <c r="A205" s="140">
        <v>40842</v>
      </c>
      <c r="B205">
        <v>17288.830000000002</v>
      </c>
      <c r="C205">
        <v>97.7</v>
      </c>
      <c r="D205">
        <v>1.97E-3</v>
      </c>
      <c r="E205">
        <v>1.755E-2</v>
      </c>
    </row>
    <row r="206" spans="1:5" ht="14.25" customHeight="1">
      <c r="A206" s="140">
        <v>40844</v>
      </c>
      <c r="B206">
        <v>17804.8</v>
      </c>
      <c r="C206">
        <v>100.15</v>
      </c>
      <c r="D206">
        <v>2.9409999999999999E-2</v>
      </c>
      <c r="E206">
        <v>2.477E-2</v>
      </c>
    </row>
    <row r="207" spans="1:5" ht="14.25" customHeight="1">
      <c r="A207" s="140">
        <v>40847</v>
      </c>
      <c r="B207">
        <v>17705.009999999998</v>
      </c>
      <c r="C207">
        <v>101</v>
      </c>
      <c r="D207">
        <v>-5.62E-3</v>
      </c>
      <c r="E207">
        <v>8.4499999999999992E-3</v>
      </c>
    </row>
    <row r="208" spans="1:5" ht="14.25" customHeight="1">
      <c r="A208" s="140">
        <v>40848</v>
      </c>
      <c r="B208">
        <v>17480.830000000002</v>
      </c>
      <c r="C208">
        <v>99.65</v>
      </c>
      <c r="D208">
        <v>-1.274E-2</v>
      </c>
      <c r="E208">
        <v>-1.346E-2</v>
      </c>
    </row>
    <row r="209" spans="1:5" ht="14.25" customHeight="1">
      <c r="A209" s="140">
        <v>40849</v>
      </c>
      <c r="B209">
        <v>17464.849999999999</v>
      </c>
      <c r="C209">
        <v>99.7</v>
      </c>
      <c r="D209">
        <v>-9.1E-4</v>
      </c>
      <c r="E209">
        <v>5.0000000000000001E-4</v>
      </c>
    </row>
    <row r="210" spans="1:5" ht="14.25" customHeight="1">
      <c r="A210" s="140">
        <v>40850</v>
      </c>
      <c r="B210">
        <v>17481.93</v>
      </c>
      <c r="C210">
        <v>99.8</v>
      </c>
      <c r="D210">
        <v>9.7999999999999997E-4</v>
      </c>
      <c r="E210">
        <v>1E-3</v>
      </c>
    </row>
    <row r="211" spans="1:5" ht="14.25" customHeight="1">
      <c r="A211" s="140">
        <v>40851</v>
      </c>
      <c r="B211">
        <v>17562.61</v>
      </c>
      <c r="C211">
        <v>99.45</v>
      </c>
      <c r="D211">
        <v>4.5999999999999999E-3</v>
      </c>
      <c r="E211">
        <v>-3.5100000000000001E-3</v>
      </c>
    </row>
    <row r="212" spans="1:5" ht="14.25" customHeight="1">
      <c r="A212" s="140">
        <v>40855</v>
      </c>
      <c r="B212">
        <v>17569.53</v>
      </c>
      <c r="C212">
        <v>99.5</v>
      </c>
      <c r="D212">
        <v>3.8999999999999999E-4</v>
      </c>
      <c r="E212">
        <v>5.0000000000000001E-4</v>
      </c>
    </row>
    <row r="213" spans="1:5" ht="14.25" customHeight="1">
      <c r="A213" s="140">
        <v>40856</v>
      </c>
      <c r="B213">
        <v>17362.099999999999</v>
      </c>
      <c r="C213">
        <v>98.65</v>
      </c>
      <c r="D213">
        <v>-1.188E-2</v>
      </c>
      <c r="E213">
        <v>-8.5800000000000008E-3</v>
      </c>
    </row>
    <row r="214" spans="1:5" ht="14.25" customHeight="1">
      <c r="A214" s="140">
        <v>40858</v>
      </c>
      <c r="B214">
        <v>17192.82</v>
      </c>
      <c r="C214">
        <v>98.55</v>
      </c>
      <c r="D214">
        <v>-9.7999999999999997E-3</v>
      </c>
      <c r="E214">
        <v>-1.01E-3</v>
      </c>
    </row>
    <row r="215" spans="1:5" ht="14.25" customHeight="1">
      <c r="A215" s="140">
        <v>40861</v>
      </c>
      <c r="B215">
        <v>17118.740000000002</v>
      </c>
      <c r="C215">
        <v>99.9</v>
      </c>
      <c r="D215">
        <v>-4.3200000000000001E-3</v>
      </c>
      <c r="E215">
        <v>1.3610000000000001E-2</v>
      </c>
    </row>
    <row r="216" spans="1:5" ht="14.25" customHeight="1">
      <c r="A216" s="140">
        <v>40862</v>
      </c>
      <c r="B216">
        <v>16882.669999999998</v>
      </c>
      <c r="C216">
        <v>97.1</v>
      </c>
      <c r="D216">
        <v>-1.389E-2</v>
      </c>
      <c r="E216">
        <v>-2.843E-2</v>
      </c>
    </row>
    <row r="217" spans="1:5" ht="14.25" customHeight="1">
      <c r="A217" s="140">
        <v>40863</v>
      </c>
      <c r="B217">
        <v>16775.87</v>
      </c>
      <c r="C217">
        <v>95.4</v>
      </c>
      <c r="D217">
        <v>-6.3499999999999997E-3</v>
      </c>
      <c r="E217">
        <v>-1.7659999999999999E-2</v>
      </c>
    </row>
    <row r="218" spans="1:5" ht="14.25" customHeight="1">
      <c r="A218" s="140">
        <v>40864</v>
      </c>
      <c r="B218">
        <v>16461.71</v>
      </c>
      <c r="C218">
        <v>94.65</v>
      </c>
      <c r="D218">
        <v>-1.89E-2</v>
      </c>
      <c r="E218">
        <v>-7.8899999999999994E-3</v>
      </c>
    </row>
    <row r="219" spans="1:5" ht="14.25" customHeight="1">
      <c r="A219" s="140">
        <v>40865</v>
      </c>
      <c r="B219">
        <v>16371.51</v>
      </c>
      <c r="C219">
        <v>96.8</v>
      </c>
      <c r="D219">
        <v>-5.4900000000000001E-3</v>
      </c>
      <c r="E219">
        <v>2.2460000000000001E-2</v>
      </c>
    </row>
    <row r="220" spans="1:5" ht="14.25" customHeight="1">
      <c r="A220" s="140">
        <v>40868</v>
      </c>
      <c r="B220">
        <v>15946.1</v>
      </c>
      <c r="C220">
        <v>99.1</v>
      </c>
      <c r="D220">
        <v>-2.6329999999999999E-2</v>
      </c>
      <c r="E220">
        <v>2.3480000000000001E-2</v>
      </c>
    </row>
    <row r="221" spans="1:5" ht="14.25" customHeight="1">
      <c r="A221" s="140">
        <v>40869</v>
      </c>
      <c r="B221">
        <v>16065.42</v>
      </c>
      <c r="C221">
        <v>100.5</v>
      </c>
      <c r="D221">
        <v>7.45E-3</v>
      </c>
      <c r="E221">
        <v>1.4030000000000001E-2</v>
      </c>
    </row>
    <row r="222" spans="1:5" ht="14.25" customHeight="1">
      <c r="A222" s="140">
        <v>40870</v>
      </c>
      <c r="B222">
        <v>15699.97</v>
      </c>
      <c r="C222">
        <v>98.1</v>
      </c>
      <c r="D222">
        <v>-2.3009999999999999E-2</v>
      </c>
      <c r="E222">
        <v>-2.4170000000000001E-2</v>
      </c>
    </row>
    <row r="223" spans="1:5" ht="14.25" customHeight="1">
      <c r="A223" s="140">
        <v>40871</v>
      </c>
      <c r="B223">
        <v>15858.49</v>
      </c>
      <c r="C223">
        <v>96.45</v>
      </c>
      <c r="D223">
        <v>1.005E-2</v>
      </c>
      <c r="E223">
        <v>-1.6959999999999999E-2</v>
      </c>
    </row>
    <row r="224" spans="1:5" ht="14.25" customHeight="1">
      <c r="A224" s="140">
        <v>40872</v>
      </c>
      <c r="B224">
        <v>15695.43</v>
      </c>
      <c r="C224">
        <v>96</v>
      </c>
      <c r="D224">
        <v>-1.034E-2</v>
      </c>
      <c r="E224">
        <v>-4.6800000000000001E-3</v>
      </c>
    </row>
    <row r="225" spans="1:5" ht="14.25" customHeight="1">
      <c r="A225" s="140">
        <v>40875</v>
      </c>
      <c r="B225">
        <v>16167.13</v>
      </c>
      <c r="C225">
        <v>96.2</v>
      </c>
      <c r="D225">
        <v>2.9610000000000001E-2</v>
      </c>
      <c r="E225">
        <v>2.0799999999999998E-3</v>
      </c>
    </row>
    <row r="226" spans="1:5" ht="14.25" customHeight="1">
      <c r="A226" s="140">
        <v>40876</v>
      </c>
      <c r="B226">
        <v>16008.34</v>
      </c>
      <c r="C226">
        <v>95.9</v>
      </c>
      <c r="D226">
        <v>-9.8700000000000003E-3</v>
      </c>
      <c r="E226">
        <v>-3.1199999999999999E-3</v>
      </c>
    </row>
    <row r="227" spans="1:5" ht="14.25" customHeight="1">
      <c r="A227" s="140">
        <v>40877</v>
      </c>
      <c r="B227">
        <v>16123.46</v>
      </c>
      <c r="C227">
        <v>95.5</v>
      </c>
      <c r="D227">
        <v>7.1700000000000002E-3</v>
      </c>
      <c r="E227">
        <v>-4.1799999999999997E-3</v>
      </c>
    </row>
    <row r="228" spans="1:5" ht="14.25" customHeight="1">
      <c r="A228" s="140">
        <v>40878</v>
      </c>
      <c r="B228">
        <v>16483.45</v>
      </c>
      <c r="C228">
        <v>94.6</v>
      </c>
      <c r="D228">
        <v>2.2079999999999999E-2</v>
      </c>
      <c r="E228">
        <v>-9.4699999999999993E-3</v>
      </c>
    </row>
    <row r="229" spans="1:5" ht="14.25" customHeight="1">
      <c r="A229" s="140">
        <v>40879</v>
      </c>
      <c r="B229">
        <v>16846.830000000002</v>
      </c>
      <c r="C229">
        <v>95.35</v>
      </c>
      <c r="D229">
        <v>2.181E-2</v>
      </c>
      <c r="E229">
        <v>7.9000000000000008E-3</v>
      </c>
    </row>
    <row r="230" spans="1:5" ht="14.25" customHeight="1">
      <c r="A230" s="140">
        <v>40882</v>
      </c>
      <c r="B230">
        <v>16805.330000000002</v>
      </c>
      <c r="C230">
        <v>95.8</v>
      </c>
      <c r="D230">
        <v>-2.47E-3</v>
      </c>
      <c r="E230">
        <v>4.7099999999999998E-3</v>
      </c>
    </row>
    <row r="231" spans="1:5" ht="14.25" customHeight="1">
      <c r="A231" s="140">
        <v>40884</v>
      </c>
      <c r="B231">
        <v>16877.060000000001</v>
      </c>
      <c r="C231">
        <v>95.95</v>
      </c>
      <c r="D231">
        <v>4.2599999999999999E-3</v>
      </c>
      <c r="E231">
        <v>1.56E-3</v>
      </c>
    </row>
    <row r="232" spans="1:5" ht="14.25" customHeight="1">
      <c r="A232" s="140">
        <v>40885</v>
      </c>
      <c r="B232">
        <v>16488.240000000002</v>
      </c>
      <c r="C232">
        <v>97.4</v>
      </c>
      <c r="D232">
        <v>-2.3310000000000001E-2</v>
      </c>
      <c r="E232">
        <v>1.4999999999999999E-2</v>
      </c>
    </row>
    <row r="233" spans="1:5" ht="14.25" customHeight="1">
      <c r="A233" s="140">
        <v>40886</v>
      </c>
      <c r="B233">
        <v>16213.46</v>
      </c>
      <c r="C233">
        <v>95.3</v>
      </c>
      <c r="D233">
        <v>-1.6809999999999999E-2</v>
      </c>
      <c r="E233">
        <v>-2.18E-2</v>
      </c>
    </row>
    <row r="234" spans="1:5" ht="14.25" customHeight="1">
      <c r="A234" s="140">
        <v>40889</v>
      </c>
      <c r="B234">
        <v>15870.35</v>
      </c>
      <c r="C234">
        <v>96.05</v>
      </c>
      <c r="D234">
        <v>-2.1389999999999999E-2</v>
      </c>
      <c r="E234">
        <v>7.8399999999999997E-3</v>
      </c>
    </row>
    <row r="235" spans="1:5" ht="14.25" customHeight="1">
      <c r="A235" s="140">
        <v>40890</v>
      </c>
      <c r="B235">
        <v>16002.51</v>
      </c>
      <c r="C235">
        <v>96.2</v>
      </c>
      <c r="D235">
        <v>8.2900000000000005E-3</v>
      </c>
      <c r="E235">
        <v>1.56E-3</v>
      </c>
    </row>
    <row r="236" spans="1:5" ht="14.25" customHeight="1">
      <c r="A236" s="140">
        <v>40891</v>
      </c>
      <c r="B236">
        <v>15881.14</v>
      </c>
      <c r="C236">
        <v>96.7</v>
      </c>
      <c r="D236">
        <v>-7.6099999999999996E-3</v>
      </c>
      <c r="E236">
        <v>5.1799999999999997E-3</v>
      </c>
    </row>
    <row r="237" spans="1:5" ht="14.25" customHeight="1">
      <c r="A237" s="140">
        <v>40892</v>
      </c>
      <c r="B237">
        <v>15836.47</v>
      </c>
      <c r="C237">
        <v>97.65</v>
      </c>
      <c r="D237">
        <v>-2.82E-3</v>
      </c>
      <c r="E237">
        <v>9.7800000000000005E-3</v>
      </c>
    </row>
    <row r="238" spans="1:5" ht="14.25" customHeight="1">
      <c r="A238" s="140">
        <v>40893</v>
      </c>
      <c r="B238">
        <v>15491.35</v>
      </c>
      <c r="C238">
        <v>96.05</v>
      </c>
      <c r="D238">
        <v>-2.2030000000000001E-2</v>
      </c>
      <c r="E238">
        <v>-1.652E-2</v>
      </c>
    </row>
    <row r="239" spans="1:5" ht="14.25" customHeight="1">
      <c r="A239" s="140">
        <v>40896</v>
      </c>
      <c r="B239">
        <v>15379.34</v>
      </c>
      <c r="C239">
        <v>96.35</v>
      </c>
      <c r="D239">
        <v>-7.26E-3</v>
      </c>
      <c r="E239">
        <v>3.1199999999999999E-3</v>
      </c>
    </row>
    <row r="240" spans="1:5" ht="14.25" customHeight="1">
      <c r="A240" s="140">
        <v>40897</v>
      </c>
      <c r="B240">
        <v>15175.08</v>
      </c>
      <c r="C240">
        <v>97.1</v>
      </c>
      <c r="D240">
        <v>-1.337E-2</v>
      </c>
      <c r="E240">
        <v>7.7499999999999999E-3</v>
      </c>
    </row>
    <row r="241" spans="1:5" ht="14.25" customHeight="1">
      <c r="A241" s="140">
        <v>40898</v>
      </c>
      <c r="B241">
        <v>15685.21</v>
      </c>
      <c r="C241">
        <v>99.5</v>
      </c>
      <c r="D241">
        <v>3.3059999999999999E-2</v>
      </c>
      <c r="E241">
        <v>2.4420000000000001E-2</v>
      </c>
    </row>
    <row r="242" spans="1:5" ht="14.25" customHeight="1">
      <c r="A242" s="140">
        <v>40899</v>
      </c>
      <c r="B242">
        <v>15813.36</v>
      </c>
      <c r="C242">
        <v>99.05</v>
      </c>
      <c r="D242">
        <v>8.1399999999999997E-3</v>
      </c>
      <c r="E242">
        <v>-4.5300000000000002E-3</v>
      </c>
    </row>
    <row r="243" spans="1:5" ht="14.25" customHeight="1">
      <c r="A243" s="140">
        <v>40900</v>
      </c>
      <c r="B243">
        <v>15738.7</v>
      </c>
      <c r="C243">
        <v>100.2</v>
      </c>
      <c r="D243">
        <v>-4.7299999999999998E-3</v>
      </c>
      <c r="E243">
        <v>1.154E-2</v>
      </c>
    </row>
    <row r="244" spans="1:5" ht="14.25" customHeight="1">
      <c r="A244" s="140">
        <v>40903</v>
      </c>
      <c r="B244">
        <v>15970.75</v>
      </c>
      <c r="C244">
        <v>100.65</v>
      </c>
      <c r="D244">
        <v>1.464E-2</v>
      </c>
      <c r="E244">
        <v>4.4799999999999996E-3</v>
      </c>
    </row>
    <row r="245" spans="1:5" ht="14.25" customHeight="1">
      <c r="A245" s="140">
        <v>40904</v>
      </c>
      <c r="B245">
        <v>15873.95</v>
      </c>
      <c r="C245">
        <v>102.25</v>
      </c>
      <c r="D245">
        <v>-6.0800000000000003E-3</v>
      </c>
      <c r="E245">
        <v>1.5769999999999999E-2</v>
      </c>
    </row>
    <row r="246" spans="1:5" ht="14.25" customHeight="1">
      <c r="A246" s="140">
        <v>40905</v>
      </c>
      <c r="B246">
        <v>15727.85</v>
      </c>
      <c r="C246">
        <v>104.25</v>
      </c>
      <c r="D246">
        <v>-9.2499999999999995E-3</v>
      </c>
      <c r="E246">
        <v>1.9369999999999998E-2</v>
      </c>
    </row>
    <row r="247" spans="1:5" ht="14.25" customHeight="1">
      <c r="A247" s="140">
        <v>40906</v>
      </c>
      <c r="B247">
        <v>15543.93</v>
      </c>
      <c r="C247">
        <v>102.05</v>
      </c>
      <c r="D247">
        <v>-1.176E-2</v>
      </c>
      <c r="E247">
        <v>-2.1329999999999998E-2</v>
      </c>
    </row>
    <row r="248" spans="1:5" ht="14.25" customHeight="1">
      <c r="A248" s="140">
        <v>40907</v>
      </c>
      <c r="B248">
        <v>15454.92</v>
      </c>
      <c r="C248">
        <v>99.75</v>
      </c>
      <c r="D248">
        <v>-5.7400000000000003E-3</v>
      </c>
      <c r="E248">
        <v>-2.2800000000000001E-2</v>
      </c>
    </row>
    <row r="249" spans="1:5" ht="14.25" customHeight="1">
      <c r="A249" s="140">
        <v>40910</v>
      </c>
      <c r="B249">
        <v>15517.92</v>
      </c>
      <c r="C249">
        <v>100.15</v>
      </c>
      <c r="D249">
        <v>4.0699999999999998E-3</v>
      </c>
      <c r="E249">
        <v>4.0000000000000001E-3</v>
      </c>
    </row>
    <row r="250" spans="1:5" ht="14.25" customHeight="1">
      <c r="A250" s="140">
        <v>40911</v>
      </c>
      <c r="B250">
        <v>15939.36</v>
      </c>
      <c r="C250">
        <v>100.85</v>
      </c>
      <c r="D250">
        <v>2.6800000000000001E-2</v>
      </c>
      <c r="E250">
        <v>6.9699999999999996E-3</v>
      </c>
    </row>
    <row r="251" spans="1:5" ht="14.25" customHeight="1">
      <c r="A251" s="140">
        <v>40912</v>
      </c>
      <c r="B251">
        <v>15882.64</v>
      </c>
      <c r="C251">
        <v>101.15</v>
      </c>
      <c r="D251">
        <v>-3.5599999999999998E-3</v>
      </c>
      <c r="E251">
        <v>2.97E-3</v>
      </c>
    </row>
    <row r="252" spans="1:5" ht="14.25" customHeight="1">
      <c r="A252" s="140">
        <v>40913</v>
      </c>
      <c r="B252">
        <v>15857.08</v>
      </c>
      <c r="C252">
        <v>100.1</v>
      </c>
      <c r="D252">
        <v>-1.6100000000000001E-3</v>
      </c>
      <c r="E252">
        <v>-1.043E-2</v>
      </c>
    </row>
    <row r="253" spans="1:5" ht="14.25" customHeight="1">
      <c r="A253" s="140">
        <v>40914</v>
      </c>
      <c r="B253">
        <v>15867.73</v>
      </c>
      <c r="C253">
        <v>98.8</v>
      </c>
      <c r="D253">
        <v>6.7000000000000002E-4</v>
      </c>
      <c r="E253">
        <v>-1.307E-2</v>
      </c>
    </row>
    <row r="254" spans="1:5" ht="14.25" customHeight="1">
      <c r="A254" s="140">
        <v>40915</v>
      </c>
      <c r="B254">
        <v>15848.8</v>
      </c>
      <c r="C254">
        <v>99.15</v>
      </c>
      <c r="D254">
        <v>-1.1900000000000001E-3</v>
      </c>
      <c r="E254">
        <v>3.5400000000000002E-3</v>
      </c>
    </row>
    <row r="255" spans="1:5" ht="14.25" customHeight="1">
      <c r="A255" s="140">
        <v>40917</v>
      </c>
      <c r="B255">
        <v>15814.72</v>
      </c>
      <c r="C255">
        <v>97.75</v>
      </c>
      <c r="D255">
        <v>-2.15E-3</v>
      </c>
      <c r="E255">
        <v>-1.422E-2</v>
      </c>
    </row>
    <row r="256" spans="1:5" ht="14.25" customHeight="1">
      <c r="A256" s="140">
        <v>40918</v>
      </c>
      <c r="B256">
        <v>16165.09</v>
      </c>
      <c r="C256">
        <v>97.65</v>
      </c>
      <c r="D256">
        <v>2.1909999999999999E-2</v>
      </c>
      <c r="E256">
        <v>-1.0200000000000001E-3</v>
      </c>
    </row>
    <row r="257" spans="1:5" ht="14.25" customHeight="1">
      <c r="A257" s="140">
        <v>40919</v>
      </c>
      <c r="B257">
        <v>16175.86</v>
      </c>
      <c r="C257">
        <v>96.95</v>
      </c>
      <c r="D257">
        <v>6.7000000000000002E-4</v>
      </c>
      <c r="E257">
        <v>-7.1900000000000002E-3</v>
      </c>
    </row>
    <row r="258" spans="1:5" ht="14.25" customHeight="1">
      <c r="A258" s="140">
        <v>40920</v>
      </c>
      <c r="B258">
        <v>16037.51</v>
      </c>
      <c r="C258">
        <v>96.55</v>
      </c>
      <c r="D258">
        <v>-8.5900000000000004E-3</v>
      </c>
      <c r="E258">
        <v>-4.13E-3</v>
      </c>
    </row>
    <row r="259" spans="1:5" ht="14.25" customHeight="1">
      <c r="A259" s="140">
        <v>40921</v>
      </c>
      <c r="B259">
        <v>16154.62</v>
      </c>
      <c r="C259">
        <v>97.55</v>
      </c>
      <c r="D259">
        <v>7.28E-3</v>
      </c>
      <c r="E259">
        <v>1.03E-2</v>
      </c>
    </row>
    <row r="260" spans="1:5" ht="14.25" customHeight="1">
      <c r="A260" s="140">
        <v>40924</v>
      </c>
      <c r="B260">
        <v>16189.36</v>
      </c>
      <c r="C260">
        <v>96.2</v>
      </c>
      <c r="D260">
        <v>2.15E-3</v>
      </c>
      <c r="E260">
        <v>-1.3939999999999999E-2</v>
      </c>
    </row>
    <row r="261" spans="1:5" ht="14.25" customHeight="1">
      <c r="A261" s="140">
        <v>40925</v>
      </c>
      <c r="B261">
        <v>16466.05</v>
      </c>
      <c r="C261">
        <v>96.95</v>
      </c>
      <c r="D261">
        <v>1.695E-2</v>
      </c>
      <c r="E261">
        <v>7.77E-3</v>
      </c>
    </row>
    <row r="262" spans="1:5" ht="14.25" customHeight="1">
      <c r="A262" s="140">
        <v>40926</v>
      </c>
      <c r="B262">
        <v>16451.47</v>
      </c>
      <c r="C262">
        <v>96.25</v>
      </c>
      <c r="D262">
        <v>-8.8999999999999995E-4</v>
      </c>
      <c r="E262">
        <v>-7.2500000000000004E-3</v>
      </c>
    </row>
    <row r="263" spans="1:5" ht="14.25" customHeight="1">
      <c r="A263" s="140">
        <v>40927</v>
      </c>
      <c r="B263">
        <v>16643.740000000002</v>
      </c>
      <c r="C263">
        <v>96.7</v>
      </c>
      <c r="D263">
        <v>1.162E-2</v>
      </c>
      <c r="E263">
        <v>4.6600000000000001E-3</v>
      </c>
    </row>
    <row r="264" spans="1:5" ht="14.25" customHeight="1">
      <c r="A264" s="140">
        <v>40928</v>
      </c>
      <c r="B264">
        <v>16739.009999999998</v>
      </c>
      <c r="C264">
        <v>95.9</v>
      </c>
      <c r="D264">
        <v>5.7099999999999998E-3</v>
      </c>
      <c r="E264">
        <v>-8.3099999999999997E-3</v>
      </c>
    </row>
    <row r="265" spans="1:5" ht="14.25" customHeight="1">
      <c r="A265" s="140">
        <v>40931</v>
      </c>
      <c r="B265">
        <v>16751.73</v>
      </c>
      <c r="C265">
        <v>95.5</v>
      </c>
      <c r="D265">
        <v>7.6000000000000004E-4</v>
      </c>
      <c r="E265">
        <v>-4.1799999999999997E-3</v>
      </c>
    </row>
    <row r="266" spans="1:5" ht="14.25" customHeight="1">
      <c r="A266" s="140">
        <v>40932</v>
      </c>
      <c r="B266">
        <v>16995.77</v>
      </c>
      <c r="C266">
        <v>95</v>
      </c>
      <c r="D266">
        <v>1.4460000000000001E-2</v>
      </c>
      <c r="E266">
        <v>-5.2500000000000003E-3</v>
      </c>
    </row>
    <row r="267" spans="1:5" ht="14.25" customHeight="1">
      <c r="A267" s="140">
        <v>40933</v>
      </c>
      <c r="B267">
        <v>17077.18</v>
      </c>
      <c r="C267">
        <v>94.15</v>
      </c>
      <c r="D267">
        <v>4.7800000000000004E-3</v>
      </c>
      <c r="E267">
        <v>-8.9899999999999997E-3</v>
      </c>
    </row>
    <row r="268" spans="1:5" ht="14.25" customHeight="1">
      <c r="A268" s="140">
        <v>40935</v>
      </c>
      <c r="B268">
        <v>17233.98</v>
      </c>
      <c r="C268">
        <v>94.2</v>
      </c>
      <c r="D268">
        <v>9.1400000000000006E-3</v>
      </c>
      <c r="E268">
        <v>5.2999999999999998E-4</v>
      </c>
    </row>
    <row r="269" spans="1:5" ht="14.25" customHeight="1">
      <c r="A269" s="140">
        <v>40938</v>
      </c>
      <c r="B269">
        <v>16863.3</v>
      </c>
      <c r="C269">
        <v>92.85</v>
      </c>
      <c r="D269">
        <v>-2.1739999999999999E-2</v>
      </c>
      <c r="E269">
        <v>-1.443E-2</v>
      </c>
    </row>
    <row r="270" spans="1:5" ht="14.25" customHeight="1">
      <c r="A270" s="140">
        <v>40939</v>
      </c>
      <c r="B270">
        <v>17193.55</v>
      </c>
      <c r="C270">
        <v>94.1</v>
      </c>
      <c r="D270">
        <v>1.9390000000000001E-2</v>
      </c>
      <c r="E270">
        <v>1.337E-2</v>
      </c>
    </row>
    <row r="271" spans="1:5" ht="14.25" customHeight="1">
      <c r="A271" s="140">
        <v>40940</v>
      </c>
      <c r="B271">
        <v>17300.580000000002</v>
      </c>
      <c r="C271">
        <v>96.35</v>
      </c>
      <c r="D271">
        <v>6.2100000000000002E-3</v>
      </c>
      <c r="E271">
        <v>2.3630000000000002E-2</v>
      </c>
    </row>
    <row r="272" spans="1:5" ht="14.25" customHeight="1">
      <c r="A272" s="140">
        <v>40941</v>
      </c>
      <c r="B272">
        <v>17431.849999999999</v>
      </c>
      <c r="C272">
        <v>96.9</v>
      </c>
      <c r="D272">
        <v>7.5599999999999999E-3</v>
      </c>
      <c r="E272">
        <v>5.6899999999999997E-3</v>
      </c>
    </row>
    <row r="273" spans="1:5" ht="14.25" customHeight="1">
      <c r="A273" s="140">
        <v>40942</v>
      </c>
      <c r="B273">
        <v>17604.96</v>
      </c>
      <c r="C273">
        <v>97.75</v>
      </c>
      <c r="D273">
        <v>9.8799999999999999E-3</v>
      </c>
      <c r="E273">
        <v>8.7299999999999999E-3</v>
      </c>
    </row>
    <row r="274" spans="1:5" ht="14.25" customHeight="1">
      <c r="A274" s="140">
        <v>40945</v>
      </c>
      <c r="B274">
        <v>17707.310000000001</v>
      </c>
      <c r="C274">
        <v>99.1</v>
      </c>
      <c r="D274">
        <v>5.7999999999999996E-3</v>
      </c>
      <c r="E274">
        <v>1.372E-2</v>
      </c>
    </row>
    <row r="275" spans="1:5" ht="14.25" customHeight="1">
      <c r="A275" s="140">
        <v>40946</v>
      </c>
      <c r="B275">
        <v>17622.45</v>
      </c>
      <c r="C275">
        <v>99.5</v>
      </c>
      <c r="D275">
        <v>-4.7999999999999996E-3</v>
      </c>
      <c r="E275">
        <v>4.0299999999999997E-3</v>
      </c>
    </row>
    <row r="276" spans="1:5" ht="14.25" customHeight="1">
      <c r="A276" s="140">
        <v>40947</v>
      </c>
      <c r="B276">
        <v>17707.32</v>
      </c>
      <c r="C276">
        <v>98.75</v>
      </c>
      <c r="D276">
        <v>4.7999999999999996E-3</v>
      </c>
      <c r="E276">
        <v>-7.5700000000000003E-3</v>
      </c>
    </row>
    <row r="277" spans="1:5" ht="14.25" customHeight="1">
      <c r="A277" s="140">
        <v>40948</v>
      </c>
      <c r="B277">
        <v>17830.75</v>
      </c>
      <c r="C277">
        <v>98.15</v>
      </c>
      <c r="D277">
        <v>6.9499999999999996E-3</v>
      </c>
      <c r="E277">
        <v>-6.0899999999999999E-3</v>
      </c>
    </row>
    <row r="278" spans="1:5" ht="14.25" customHeight="1">
      <c r="A278" s="140">
        <v>40949</v>
      </c>
      <c r="B278">
        <v>17748.689999999999</v>
      </c>
      <c r="C278">
        <v>102.85</v>
      </c>
      <c r="D278">
        <v>-4.6100000000000004E-3</v>
      </c>
      <c r="E278">
        <v>4.6769999999999999E-2</v>
      </c>
    </row>
    <row r="279" spans="1:5" ht="14.25" customHeight="1">
      <c r="A279" s="140">
        <v>40952</v>
      </c>
      <c r="B279">
        <v>17772.84</v>
      </c>
      <c r="C279">
        <v>100.75</v>
      </c>
      <c r="D279">
        <v>1.3600000000000001E-3</v>
      </c>
      <c r="E279">
        <v>-2.0629999999999999E-2</v>
      </c>
    </row>
    <row r="280" spans="1:5" ht="14.25" customHeight="1">
      <c r="A280" s="140">
        <v>40953</v>
      </c>
      <c r="B280">
        <v>17848.57</v>
      </c>
      <c r="C280">
        <v>103.4</v>
      </c>
      <c r="D280">
        <v>4.2500000000000003E-3</v>
      </c>
      <c r="E280">
        <v>2.596E-2</v>
      </c>
    </row>
    <row r="281" spans="1:5" ht="14.25" customHeight="1">
      <c r="A281" s="140">
        <v>40954</v>
      </c>
      <c r="B281">
        <v>18202.41</v>
      </c>
      <c r="C281">
        <v>102.7</v>
      </c>
      <c r="D281">
        <v>1.9630000000000002E-2</v>
      </c>
      <c r="E281">
        <v>-6.79E-3</v>
      </c>
    </row>
    <row r="282" spans="1:5" ht="14.25" customHeight="1">
      <c r="A282" s="140">
        <v>40955</v>
      </c>
      <c r="B282">
        <v>18153.990000000002</v>
      </c>
      <c r="C282">
        <v>103</v>
      </c>
      <c r="D282">
        <v>-2.66E-3</v>
      </c>
      <c r="E282">
        <v>2.9199999999999999E-3</v>
      </c>
    </row>
    <row r="283" spans="1:5" ht="14.25" customHeight="1">
      <c r="A283" s="140">
        <v>40956</v>
      </c>
      <c r="B283">
        <v>18289.349999999999</v>
      </c>
      <c r="C283">
        <v>104.45</v>
      </c>
      <c r="D283">
        <v>7.43E-3</v>
      </c>
      <c r="E283">
        <v>1.3979999999999999E-2</v>
      </c>
    </row>
    <row r="284" spans="1:5" ht="14.25" customHeight="1">
      <c r="A284" s="140">
        <v>40960</v>
      </c>
      <c r="B284">
        <v>18428.61</v>
      </c>
      <c r="C284">
        <v>105.1</v>
      </c>
      <c r="D284">
        <v>7.5900000000000004E-3</v>
      </c>
      <c r="E284">
        <v>6.1999999999999998E-3</v>
      </c>
    </row>
    <row r="285" spans="1:5" ht="14.25" customHeight="1">
      <c r="A285" s="140">
        <v>40961</v>
      </c>
      <c r="B285">
        <v>18145.25</v>
      </c>
      <c r="C285">
        <v>104.8</v>
      </c>
      <c r="D285">
        <v>-1.55E-2</v>
      </c>
      <c r="E285">
        <v>-2.8600000000000001E-3</v>
      </c>
    </row>
    <row r="286" spans="1:5" ht="14.25" customHeight="1">
      <c r="A286" s="140">
        <v>40962</v>
      </c>
      <c r="B286">
        <v>18078.5</v>
      </c>
      <c r="C286">
        <v>102.15</v>
      </c>
      <c r="D286">
        <v>-3.6900000000000001E-3</v>
      </c>
      <c r="E286">
        <v>-2.5610000000000001E-2</v>
      </c>
    </row>
    <row r="287" spans="1:5" ht="14.25" customHeight="1">
      <c r="A287" s="140">
        <v>40963</v>
      </c>
      <c r="B287">
        <v>17923.57</v>
      </c>
      <c r="C287">
        <v>102.75</v>
      </c>
      <c r="D287">
        <v>-8.6099999999999996E-3</v>
      </c>
      <c r="E287">
        <v>5.8599999999999998E-3</v>
      </c>
    </row>
    <row r="288" spans="1:5" ht="14.25" customHeight="1">
      <c r="A288" s="140">
        <v>40966</v>
      </c>
      <c r="B288">
        <v>17445.75</v>
      </c>
      <c r="C288">
        <v>102.3</v>
      </c>
      <c r="D288">
        <v>-2.7019999999999999E-2</v>
      </c>
      <c r="E288">
        <v>-4.3899999999999998E-3</v>
      </c>
    </row>
    <row r="289" spans="1:5" ht="14.25" customHeight="1">
      <c r="A289" s="140">
        <v>40967</v>
      </c>
      <c r="B289">
        <v>17731.12</v>
      </c>
      <c r="C289">
        <v>103.05</v>
      </c>
      <c r="D289">
        <v>1.6230000000000001E-2</v>
      </c>
      <c r="E289">
        <v>7.3000000000000001E-3</v>
      </c>
    </row>
    <row r="290" spans="1:5" ht="14.25" customHeight="1">
      <c r="A290" s="140">
        <v>40968</v>
      </c>
      <c r="B290">
        <v>17752.68</v>
      </c>
      <c r="C290">
        <v>103.85</v>
      </c>
      <c r="D290">
        <v>1.2199999999999999E-3</v>
      </c>
      <c r="E290">
        <v>7.7299999999999999E-3</v>
      </c>
    </row>
    <row r="291" spans="1:5" ht="14.25" customHeight="1">
      <c r="A291" s="140">
        <v>40969</v>
      </c>
      <c r="B291">
        <v>17583.97</v>
      </c>
      <c r="C291">
        <v>102.8</v>
      </c>
      <c r="D291">
        <v>-9.5499999999999995E-3</v>
      </c>
      <c r="E291">
        <v>-1.0160000000000001E-2</v>
      </c>
    </row>
    <row r="292" spans="1:5" ht="14.25" customHeight="1">
      <c r="A292" s="140">
        <v>40970</v>
      </c>
      <c r="B292">
        <v>17636.8</v>
      </c>
      <c r="C292">
        <v>104.9</v>
      </c>
      <c r="D292">
        <v>3.0000000000000001E-3</v>
      </c>
      <c r="E292">
        <v>2.0219999999999998E-2</v>
      </c>
    </row>
    <row r="293" spans="1:5" ht="14.25" customHeight="1">
      <c r="A293" s="140">
        <v>40971</v>
      </c>
      <c r="B293">
        <v>17636.990000000002</v>
      </c>
      <c r="C293">
        <v>105.5</v>
      </c>
      <c r="D293">
        <v>1.0000000000000001E-5</v>
      </c>
      <c r="E293">
        <v>5.7000000000000002E-3</v>
      </c>
    </row>
    <row r="294" spans="1:5" ht="14.25" customHeight="1">
      <c r="A294" s="140">
        <v>40973</v>
      </c>
      <c r="B294">
        <v>17362.87</v>
      </c>
      <c r="C294">
        <v>103.8</v>
      </c>
      <c r="D294">
        <v>-1.566E-2</v>
      </c>
      <c r="E294">
        <v>-1.6240000000000001E-2</v>
      </c>
    </row>
    <row r="295" spans="1:5" ht="14.25" customHeight="1">
      <c r="A295" s="140">
        <v>40974</v>
      </c>
      <c r="B295">
        <v>17173.29</v>
      </c>
      <c r="C295">
        <v>102.75</v>
      </c>
      <c r="D295">
        <v>-1.098E-2</v>
      </c>
      <c r="E295">
        <v>-1.017E-2</v>
      </c>
    </row>
    <row r="296" spans="1:5" ht="14.25" customHeight="1">
      <c r="A296" s="140">
        <v>40975</v>
      </c>
      <c r="B296">
        <v>17145.52</v>
      </c>
      <c r="C296">
        <v>103.95</v>
      </c>
      <c r="D296">
        <v>-1.6199999999999999E-3</v>
      </c>
      <c r="E296">
        <v>1.1610000000000001E-2</v>
      </c>
    </row>
    <row r="297" spans="1:5" ht="14.25" customHeight="1">
      <c r="A297" s="140">
        <v>40977</v>
      </c>
      <c r="B297">
        <v>17503.240000000002</v>
      </c>
      <c r="C297">
        <v>102.8</v>
      </c>
      <c r="D297">
        <v>2.0650000000000002E-2</v>
      </c>
      <c r="E297">
        <v>-1.112E-2</v>
      </c>
    </row>
    <row r="298" spans="1:5" ht="14.25" customHeight="1">
      <c r="A298" s="140">
        <v>40980</v>
      </c>
      <c r="B298">
        <v>17587.669999999998</v>
      </c>
      <c r="C298">
        <v>102.45</v>
      </c>
      <c r="D298">
        <v>4.81E-3</v>
      </c>
      <c r="E298">
        <v>-3.4099999999999998E-3</v>
      </c>
    </row>
    <row r="299" spans="1:5" ht="14.25" customHeight="1">
      <c r="A299" s="140">
        <v>40981</v>
      </c>
      <c r="B299">
        <v>17813.62</v>
      </c>
      <c r="C299">
        <v>102.2</v>
      </c>
      <c r="D299">
        <v>1.277E-2</v>
      </c>
      <c r="E299">
        <v>-2.4399999999999999E-3</v>
      </c>
    </row>
    <row r="300" spans="1:5" ht="14.25" customHeight="1">
      <c r="A300" s="140">
        <v>40982</v>
      </c>
      <c r="B300">
        <v>17919.3</v>
      </c>
      <c r="C300">
        <v>103.25</v>
      </c>
      <c r="D300">
        <v>5.9199999999999999E-3</v>
      </c>
      <c r="E300">
        <v>1.022E-2</v>
      </c>
    </row>
    <row r="301" spans="1:5" ht="14.25" customHeight="1">
      <c r="A301" s="140">
        <v>40983</v>
      </c>
      <c r="B301">
        <v>17675.849999999999</v>
      </c>
      <c r="C301">
        <v>103.6</v>
      </c>
      <c r="D301">
        <v>-1.3679999999999999E-2</v>
      </c>
      <c r="E301">
        <v>3.3800000000000002E-3</v>
      </c>
    </row>
    <row r="302" spans="1:5" ht="14.25" customHeight="1">
      <c r="A302" s="140">
        <v>40984</v>
      </c>
      <c r="B302">
        <v>17466.2</v>
      </c>
      <c r="C302">
        <v>103.1</v>
      </c>
      <c r="D302">
        <v>-1.193E-2</v>
      </c>
      <c r="E302">
        <v>-4.8399999999999997E-3</v>
      </c>
    </row>
    <row r="303" spans="1:5" ht="14.25" customHeight="1">
      <c r="A303" s="140">
        <v>40987</v>
      </c>
      <c r="B303">
        <v>17273.37</v>
      </c>
      <c r="C303">
        <v>104.2</v>
      </c>
      <c r="D303">
        <v>-1.11E-2</v>
      </c>
      <c r="E303">
        <v>1.061E-2</v>
      </c>
    </row>
    <row r="304" spans="1:5" ht="14.25" customHeight="1">
      <c r="A304" s="140">
        <v>40988</v>
      </c>
      <c r="B304">
        <v>17316.18</v>
      </c>
      <c r="C304">
        <v>105.2</v>
      </c>
      <c r="D304">
        <v>2.48E-3</v>
      </c>
      <c r="E304">
        <v>9.5499999999999995E-3</v>
      </c>
    </row>
    <row r="305" spans="1:5" ht="14.25" customHeight="1">
      <c r="A305" s="140">
        <v>40989</v>
      </c>
      <c r="B305">
        <v>17601.71</v>
      </c>
      <c r="C305">
        <v>106</v>
      </c>
      <c r="D305">
        <v>1.635E-2</v>
      </c>
      <c r="E305">
        <v>7.5799999999999999E-3</v>
      </c>
    </row>
    <row r="306" spans="1:5" ht="14.25" customHeight="1">
      <c r="A306" s="140">
        <v>40990</v>
      </c>
      <c r="B306">
        <v>17196.47</v>
      </c>
      <c r="C306">
        <v>105.3</v>
      </c>
      <c r="D306">
        <v>-2.3290000000000002E-2</v>
      </c>
      <c r="E306">
        <v>-6.6299999999999996E-3</v>
      </c>
    </row>
    <row r="307" spans="1:5" ht="14.25" customHeight="1">
      <c r="A307" s="140">
        <v>40991</v>
      </c>
      <c r="B307">
        <v>17361.740000000002</v>
      </c>
      <c r="C307">
        <v>106.1</v>
      </c>
      <c r="D307">
        <v>9.5600000000000008E-3</v>
      </c>
      <c r="E307">
        <v>7.5700000000000003E-3</v>
      </c>
    </row>
    <row r="308" spans="1:5" ht="14.25" customHeight="1">
      <c r="A308" s="140">
        <v>40994</v>
      </c>
      <c r="B308">
        <v>17052.78</v>
      </c>
      <c r="C308">
        <v>104.55</v>
      </c>
      <c r="D308">
        <v>-1.796E-2</v>
      </c>
      <c r="E308">
        <v>-1.472E-2</v>
      </c>
    </row>
    <row r="309" spans="1:5" ht="14.25" customHeight="1">
      <c r="A309" s="140">
        <v>40995</v>
      </c>
      <c r="B309">
        <v>17257.36</v>
      </c>
      <c r="C309">
        <v>105.65</v>
      </c>
      <c r="D309">
        <v>1.193E-2</v>
      </c>
      <c r="E309">
        <v>1.047E-2</v>
      </c>
    </row>
    <row r="310" spans="1:5" ht="14.25" customHeight="1">
      <c r="A310" s="140">
        <v>40996</v>
      </c>
      <c r="B310">
        <v>17121.62</v>
      </c>
      <c r="C310">
        <v>103.3</v>
      </c>
      <c r="D310">
        <v>-7.9000000000000008E-3</v>
      </c>
      <c r="E310">
        <v>-2.249E-2</v>
      </c>
    </row>
    <row r="311" spans="1:5" ht="14.25" customHeight="1">
      <c r="A311" s="140">
        <v>40997</v>
      </c>
      <c r="B311">
        <v>17058.61</v>
      </c>
      <c r="C311">
        <v>105.05</v>
      </c>
      <c r="D311">
        <v>-3.6900000000000001E-3</v>
      </c>
      <c r="E311">
        <v>1.6799999999999999E-2</v>
      </c>
    </row>
    <row r="312" spans="1:5" ht="14.25" customHeight="1">
      <c r="A312" s="140">
        <v>40998</v>
      </c>
      <c r="B312">
        <v>17404.2</v>
      </c>
      <c r="C312">
        <v>106.4</v>
      </c>
      <c r="D312">
        <v>2.0060000000000001E-2</v>
      </c>
      <c r="E312">
        <v>1.277E-2</v>
      </c>
    </row>
    <row r="313" spans="1:5" ht="14.25" customHeight="1">
      <c r="A313" s="140">
        <v>41001</v>
      </c>
      <c r="B313">
        <v>17478.150000000001</v>
      </c>
      <c r="C313">
        <v>105.8</v>
      </c>
      <c r="D313">
        <v>4.2399999999999998E-3</v>
      </c>
      <c r="E313">
        <v>-5.6600000000000001E-3</v>
      </c>
    </row>
    <row r="314" spans="1:5" ht="14.25" customHeight="1">
      <c r="A314" s="140">
        <v>41002</v>
      </c>
      <c r="B314">
        <v>17597.419999999998</v>
      </c>
      <c r="C314">
        <v>105.75</v>
      </c>
      <c r="D314">
        <v>6.7999999999999996E-3</v>
      </c>
      <c r="E314">
        <v>-4.6999999999999999E-4</v>
      </c>
    </row>
    <row r="315" spans="1:5" ht="14.25" customHeight="1">
      <c r="A315" s="140">
        <v>41003</v>
      </c>
      <c r="B315">
        <v>17486.02</v>
      </c>
      <c r="C315">
        <v>105.45</v>
      </c>
      <c r="D315">
        <v>-6.3499999999999997E-3</v>
      </c>
      <c r="E315">
        <v>-2.8400000000000001E-3</v>
      </c>
    </row>
    <row r="316" spans="1:5" ht="14.25" customHeight="1">
      <c r="A316" s="140">
        <v>41008</v>
      </c>
      <c r="B316">
        <v>17222.14</v>
      </c>
      <c r="C316">
        <v>104.35</v>
      </c>
      <c r="D316">
        <v>-1.521E-2</v>
      </c>
      <c r="E316">
        <v>-1.0489999999999999E-2</v>
      </c>
    </row>
    <row r="317" spans="1:5" ht="14.25" customHeight="1">
      <c r="A317" s="140">
        <v>41009</v>
      </c>
      <c r="B317">
        <v>17243.84</v>
      </c>
      <c r="C317">
        <v>105.45</v>
      </c>
      <c r="D317">
        <v>1.2600000000000001E-3</v>
      </c>
      <c r="E317">
        <v>1.0489999999999999E-2</v>
      </c>
    </row>
    <row r="318" spans="1:5" ht="14.25" customHeight="1">
      <c r="A318" s="140">
        <v>41010</v>
      </c>
      <c r="B318">
        <v>17199.400000000001</v>
      </c>
      <c r="C318">
        <v>105.35</v>
      </c>
      <c r="D318">
        <v>-2.5799999999999998E-3</v>
      </c>
      <c r="E318">
        <v>-9.5E-4</v>
      </c>
    </row>
    <row r="319" spans="1:5" ht="14.25" customHeight="1">
      <c r="A319" s="140">
        <v>41011</v>
      </c>
      <c r="B319">
        <v>17332.62</v>
      </c>
      <c r="C319">
        <v>109.8</v>
      </c>
      <c r="D319">
        <v>7.7200000000000003E-3</v>
      </c>
      <c r="E319">
        <v>4.1369999999999997E-2</v>
      </c>
    </row>
    <row r="320" spans="1:5" ht="14.25" customHeight="1">
      <c r="A320" s="140">
        <v>41012</v>
      </c>
      <c r="B320">
        <v>17094.509999999998</v>
      </c>
      <c r="C320">
        <v>109.15</v>
      </c>
      <c r="D320">
        <v>-1.383E-2</v>
      </c>
      <c r="E320">
        <v>-5.94E-3</v>
      </c>
    </row>
    <row r="321" spans="1:5" ht="14.25" customHeight="1">
      <c r="A321" s="140">
        <v>41015</v>
      </c>
      <c r="B321">
        <v>17150.95</v>
      </c>
      <c r="C321">
        <v>111.35</v>
      </c>
      <c r="D321">
        <v>3.3E-3</v>
      </c>
      <c r="E321">
        <v>1.9959999999999999E-2</v>
      </c>
    </row>
    <row r="322" spans="1:5" ht="14.25" customHeight="1">
      <c r="A322" s="140">
        <v>41016</v>
      </c>
      <c r="B322">
        <v>17357.939999999999</v>
      </c>
      <c r="C322">
        <v>110.6</v>
      </c>
      <c r="D322">
        <v>1.2E-2</v>
      </c>
      <c r="E322">
        <v>-6.7600000000000004E-3</v>
      </c>
    </row>
    <row r="323" spans="1:5" ht="14.25" customHeight="1">
      <c r="A323" s="140">
        <v>41017</v>
      </c>
      <c r="B323">
        <v>17392.39</v>
      </c>
      <c r="C323">
        <v>110.95</v>
      </c>
      <c r="D323">
        <v>1.98E-3</v>
      </c>
      <c r="E323">
        <v>3.16E-3</v>
      </c>
    </row>
    <row r="324" spans="1:5" ht="14.25" customHeight="1">
      <c r="A324" s="140">
        <v>41018</v>
      </c>
      <c r="B324">
        <v>17503.71</v>
      </c>
      <c r="C324">
        <v>112.7</v>
      </c>
      <c r="D324">
        <v>6.3800000000000003E-3</v>
      </c>
      <c r="E324">
        <v>1.5650000000000001E-2</v>
      </c>
    </row>
    <row r="325" spans="1:5" ht="14.25" customHeight="1">
      <c r="A325" s="140">
        <v>41019</v>
      </c>
      <c r="B325">
        <v>17373.84</v>
      </c>
      <c r="C325">
        <v>112.35</v>
      </c>
      <c r="D325">
        <v>-7.45E-3</v>
      </c>
      <c r="E325">
        <v>-3.1099999999999999E-3</v>
      </c>
    </row>
    <row r="326" spans="1:5" ht="14.25" customHeight="1">
      <c r="A326" s="140">
        <v>41022</v>
      </c>
      <c r="B326">
        <v>17096.68</v>
      </c>
      <c r="C326">
        <v>111.65</v>
      </c>
      <c r="D326">
        <v>-1.6080000000000001E-2</v>
      </c>
      <c r="E326">
        <v>-6.2500000000000003E-3</v>
      </c>
    </row>
    <row r="327" spans="1:5" ht="14.25" customHeight="1">
      <c r="A327" s="140">
        <v>41023</v>
      </c>
      <c r="B327">
        <v>17207.29</v>
      </c>
      <c r="C327">
        <v>111.25</v>
      </c>
      <c r="D327">
        <v>6.45E-3</v>
      </c>
      <c r="E327">
        <v>-3.5899999999999999E-3</v>
      </c>
    </row>
    <row r="328" spans="1:5" ht="14.25" customHeight="1">
      <c r="A328" s="140">
        <v>41024</v>
      </c>
      <c r="B328">
        <v>17151.29</v>
      </c>
      <c r="C328">
        <v>112.05</v>
      </c>
      <c r="D328">
        <v>-3.2599999999999999E-3</v>
      </c>
      <c r="E328">
        <v>7.1700000000000002E-3</v>
      </c>
    </row>
    <row r="329" spans="1:5" ht="14.25" customHeight="1">
      <c r="A329" s="140">
        <v>41025</v>
      </c>
      <c r="B329">
        <v>17130.669999999998</v>
      </c>
      <c r="C329">
        <v>111.05</v>
      </c>
      <c r="D329">
        <v>-1.1999999999999999E-3</v>
      </c>
      <c r="E329">
        <v>-8.9599999999999992E-3</v>
      </c>
    </row>
    <row r="330" spans="1:5" ht="14.25" customHeight="1">
      <c r="A330" s="140">
        <v>41026</v>
      </c>
      <c r="B330">
        <v>17134.25</v>
      </c>
      <c r="C330">
        <v>109.75</v>
      </c>
      <c r="D330">
        <v>2.1000000000000001E-4</v>
      </c>
      <c r="E330">
        <v>-1.1780000000000001E-2</v>
      </c>
    </row>
    <row r="331" spans="1:5" ht="14.25" customHeight="1">
      <c r="A331" s="140">
        <v>41027</v>
      </c>
      <c r="B331">
        <v>17187.34</v>
      </c>
      <c r="C331">
        <v>110.5</v>
      </c>
      <c r="D331">
        <v>3.0899999999999999E-3</v>
      </c>
      <c r="E331">
        <v>6.8100000000000001E-3</v>
      </c>
    </row>
    <row r="332" spans="1:5" ht="14.25" customHeight="1">
      <c r="A332" s="140">
        <v>41029</v>
      </c>
      <c r="B332">
        <v>17318.810000000001</v>
      </c>
      <c r="C332">
        <v>111.6</v>
      </c>
      <c r="D332">
        <v>7.62E-3</v>
      </c>
      <c r="E332">
        <v>9.9100000000000004E-3</v>
      </c>
    </row>
    <row r="333" spans="1:5" ht="14.25" customHeight="1">
      <c r="A333" s="140">
        <v>41031</v>
      </c>
      <c r="B333">
        <v>17301.91</v>
      </c>
      <c r="C333">
        <v>109.95</v>
      </c>
      <c r="D333">
        <v>-9.7999999999999997E-4</v>
      </c>
      <c r="E333">
        <v>-1.49E-2</v>
      </c>
    </row>
    <row r="334" spans="1:5" ht="14.25" customHeight="1">
      <c r="A334" s="140">
        <v>41032</v>
      </c>
      <c r="B334">
        <v>17151.189999999999</v>
      </c>
      <c r="C334">
        <v>106.05</v>
      </c>
      <c r="D334">
        <v>-8.7500000000000008E-3</v>
      </c>
      <c r="E334">
        <v>-3.6119999999999999E-2</v>
      </c>
    </row>
    <row r="335" spans="1:5" ht="14.25" customHeight="1">
      <c r="A335" s="140">
        <v>41033</v>
      </c>
      <c r="B335">
        <v>16831.080000000002</v>
      </c>
      <c r="C335">
        <v>106.9</v>
      </c>
      <c r="D335">
        <v>-1.8839999999999999E-2</v>
      </c>
      <c r="E335">
        <v>7.9799999999999992E-3</v>
      </c>
    </row>
    <row r="336" spans="1:5" ht="14.25" customHeight="1">
      <c r="A336" s="140">
        <v>41036</v>
      </c>
      <c r="B336">
        <v>16912.71</v>
      </c>
      <c r="C336">
        <v>107.7</v>
      </c>
      <c r="D336">
        <v>4.8399999999999997E-3</v>
      </c>
      <c r="E336">
        <v>7.4599999999999996E-3</v>
      </c>
    </row>
    <row r="337" spans="1:5" ht="14.25" customHeight="1">
      <c r="A337" s="140">
        <v>41037</v>
      </c>
      <c r="B337">
        <v>16546.18</v>
      </c>
      <c r="C337">
        <v>105.8</v>
      </c>
      <c r="D337">
        <v>-2.1909999999999999E-2</v>
      </c>
      <c r="E337">
        <v>-1.78E-2</v>
      </c>
    </row>
    <row r="338" spans="1:5" ht="14.25" customHeight="1">
      <c r="A338" s="140">
        <v>41038</v>
      </c>
      <c r="B338">
        <v>16479.580000000002</v>
      </c>
      <c r="C338">
        <v>106.25</v>
      </c>
      <c r="D338">
        <v>-4.0299999999999997E-3</v>
      </c>
      <c r="E338">
        <v>4.2399999999999998E-3</v>
      </c>
    </row>
    <row r="339" spans="1:5" ht="14.25" customHeight="1">
      <c r="A339" s="140">
        <v>41039</v>
      </c>
      <c r="B339">
        <v>16420.05</v>
      </c>
      <c r="C339">
        <v>105.9</v>
      </c>
      <c r="D339">
        <v>-3.62E-3</v>
      </c>
      <c r="E339">
        <v>-3.3E-3</v>
      </c>
    </row>
    <row r="340" spans="1:5" ht="14.25" customHeight="1">
      <c r="A340" s="140">
        <v>41040</v>
      </c>
      <c r="B340">
        <v>16292.98</v>
      </c>
      <c r="C340">
        <v>104.8</v>
      </c>
      <c r="D340">
        <v>-7.77E-3</v>
      </c>
      <c r="E340">
        <v>-1.044E-2</v>
      </c>
    </row>
    <row r="341" spans="1:5" ht="14.25" customHeight="1">
      <c r="A341" s="140">
        <v>41043</v>
      </c>
      <c r="B341">
        <v>16215.84</v>
      </c>
      <c r="C341">
        <v>108.05</v>
      </c>
      <c r="D341">
        <v>-4.7499999999999999E-3</v>
      </c>
      <c r="E341">
        <v>3.0540000000000001E-2</v>
      </c>
    </row>
    <row r="342" spans="1:5" ht="14.25" customHeight="1">
      <c r="A342" s="140">
        <v>41044</v>
      </c>
      <c r="B342">
        <v>16328.25</v>
      </c>
      <c r="C342">
        <v>105.9</v>
      </c>
      <c r="D342">
        <v>6.9100000000000003E-3</v>
      </c>
      <c r="E342">
        <v>-2.01E-2</v>
      </c>
    </row>
    <row r="343" spans="1:5" ht="14.25" customHeight="1">
      <c r="A343" s="140">
        <v>41045</v>
      </c>
      <c r="B343">
        <v>16030.09</v>
      </c>
      <c r="C343">
        <v>104</v>
      </c>
      <c r="D343">
        <v>-1.8429999999999998E-2</v>
      </c>
      <c r="E343">
        <v>-1.8100000000000002E-2</v>
      </c>
    </row>
    <row r="344" spans="1:5" ht="14.25" customHeight="1">
      <c r="A344" s="140">
        <v>41046</v>
      </c>
      <c r="B344">
        <v>16070.48</v>
      </c>
      <c r="C344">
        <v>104.45</v>
      </c>
      <c r="D344">
        <v>2.5200000000000001E-3</v>
      </c>
      <c r="E344">
        <v>4.3200000000000001E-3</v>
      </c>
    </row>
    <row r="345" spans="1:5" ht="14.25" customHeight="1">
      <c r="A345" s="140">
        <v>41047</v>
      </c>
      <c r="B345">
        <v>16152.75</v>
      </c>
      <c r="C345">
        <v>105.55</v>
      </c>
      <c r="D345">
        <v>5.11E-3</v>
      </c>
      <c r="E345">
        <v>1.048E-2</v>
      </c>
    </row>
    <row r="346" spans="1:5" ht="14.25" customHeight="1">
      <c r="A346" s="140">
        <v>41050</v>
      </c>
      <c r="B346">
        <v>16183.26</v>
      </c>
      <c r="C346">
        <v>104.95</v>
      </c>
      <c r="D346">
        <v>1.89E-3</v>
      </c>
      <c r="E346">
        <v>-5.7000000000000002E-3</v>
      </c>
    </row>
    <row r="347" spans="1:5" ht="14.25" customHeight="1">
      <c r="A347" s="140">
        <v>41051</v>
      </c>
      <c r="B347">
        <v>16026.41</v>
      </c>
      <c r="C347">
        <v>104.7</v>
      </c>
      <c r="D347">
        <v>-9.7400000000000004E-3</v>
      </c>
      <c r="E347">
        <v>-2.3800000000000002E-3</v>
      </c>
    </row>
    <row r="348" spans="1:5" ht="14.25" customHeight="1">
      <c r="A348" s="140">
        <v>41052</v>
      </c>
      <c r="B348">
        <v>15948.1</v>
      </c>
      <c r="C348">
        <v>104.35</v>
      </c>
      <c r="D348">
        <v>-4.8999999999999998E-3</v>
      </c>
      <c r="E348">
        <v>-3.3500000000000001E-3</v>
      </c>
    </row>
    <row r="349" spans="1:5" ht="14.25" customHeight="1">
      <c r="A349" s="140">
        <v>41053</v>
      </c>
      <c r="B349">
        <v>16222.3</v>
      </c>
      <c r="C349">
        <v>104.55</v>
      </c>
      <c r="D349">
        <v>1.7049999999999999E-2</v>
      </c>
      <c r="E349">
        <v>1.91E-3</v>
      </c>
    </row>
    <row r="350" spans="1:5" ht="14.25" customHeight="1">
      <c r="A350" s="140">
        <v>41054</v>
      </c>
      <c r="B350">
        <v>16217.82</v>
      </c>
      <c r="C350">
        <v>103.9</v>
      </c>
      <c r="D350">
        <v>-2.7999999999999998E-4</v>
      </c>
      <c r="E350">
        <v>-6.2399999999999999E-3</v>
      </c>
    </row>
    <row r="351" spans="1:5" ht="14.25" customHeight="1">
      <c r="A351" s="140">
        <v>41057</v>
      </c>
      <c r="B351">
        <v>16416.84</v>
      </c>
      <c r="C351">
        <v>104.85</v>
      </c>
      <c r="D351">
        <v>1.2200000000000001E-2</v>
      </c>
      <c r="E351">
        <v>9.1000000000000004E-3</v>
      </c>
    </row>
    <row r="352" spans="1:5" ht="14.25" customHeight="1">
      <c r="A352" s="140">
        <v>41058</v>
      </c>
      <c r="B352">
        <v>16438.580000000002</v>
      </c>
      <c r="C352">
        <v>104.8</v>
      </c>
      <c r="D352">
        <v>1.32E-3</v>
      </c>
      <c r="E352">
        <v>-4.8000000000000001E-4</v>
      </c>
    </row>
    <row r="353" spans="1:5" ht="14.25" customHeight="1">
      <c r="A353" s="140">
        <v>41059</v>
      </c>
      <c r="B353">
        <v>16312.15</v>
      </c>
      <c r="C353">
        <v>104</v>
      </c>
      <c r="D353">
        <v>-7.7200000000000003E-3</v>
      </c>
      <c r="E353">
        <v>-7.6600000000000001E-3</v>
      </c>
    </row>
    <row r="354" spans="1:5" ht="14.25" customHeight="1">
      <c r="A354" s="140">
        <v>41060</v>
      </c>
      <c r="B354">
        <v>16218.53</v>
      </c>
      <c r="C354">
        <v>104.35</v>
      </c>
      <c r="D354">
        <v>-5.7600000000000004E-3</v>
      </c>
      <c r="E354">
        <v>3.3600000000000001E-3</v>
      </c>
    </row>
    <row r="355" spans="1:5" ht="14.25" customHeight="1">
      <c r="A355" s="140">
        <v>41061</v>
      </c>
      <c r="B355">
        <v>15965.16</v>
      </c>
      <c r="C355">
        <v>103.15</v>
      </c>
      <c r="D355">
        <v>-1.575E-2</v>
      </c>
      <c r="E355">
        <v>-1.157E-2</v>
      </c>
    </row>
    <row r="356" spans="1:5" ht="14.25" customHeight="1">
      <c r="A356" s="140">
        <v>41064</v>
      </c>
      <c r="B356">
        <v>15988.4</v>
      </c>
      <c r="C356">
        <v>102.4</v>
      </c>
      <c r="D356">
        <v>1.4499999999999999E-3</v>
      </c>
      <c r="E356">
        <v>-7.3000000000000001E-3</v>
      </c>
    </row>
    <row r="357" spans="1:5" ht="14.25" customHeight="1">
      <c r="A357" s="140">
        <v>41065</v>
      </c>
      <c r="B357">
        <v>16020.64</v>
      </c>
      <c r="C357">
        <v>102.05</v>
      </c>
      <c r="D357">
        <v>2.0100000000000001E-3</v>
      </c>
      <c r="E357">
        <v>-3.4199999999999999E-3</v>
      </c>
    </row>
    <row r="358" spans="1:5" ht="14.25" customHeight="1">
      <c r="A358" s="140">
        <v>41066</v>
      </c>
      <c r="B358">
        <v>16454.3</v>
      </c>
      <c r="C358">
        <v>106.85</v>
      </c>
      <c r="D358">
        <v>2.6710000000000001E-2</v>
      </c>
      <c r="E358">
        <v>4.5960000000000001E-2</v>
      </c>
    </row>
    <row r="359" spans="1:5" ht="14.25" customHeight="1">
      <c r="A359" s="140">
        <v>41067</v>
      </c>
      <c r="B359">
        <v>16649.05</v>
      </c>
      <c r="C359">
        <v>105.7</v>
      </c>
      <c r="D359">
        <v>1.1769999999999999E-2</v>
      </c>
      <c r="E359">
        <v>-1.082E-2</v>
      </c>
    </row>
    <row r="360" spans="1:5" ht="14.25" customHeight="1">
      <c r="A360" s="140">
        <v>41068</v>
      </c>
      <c r="B360">
        <v>16718.87</v>
      </c>
      <c r="C360">
        <v>103.75</v>
      </c>
      <c r="D360">
        <v>4.1799999999999997E-3</v>
      </c>
      <c r="E360">
        <v>-1.8620000000000001E-2</v>
      </c>
    </row>
    <row r="361" spans="1:5" ht="14.25" customHeight="1">
      <c r="A361" s="140">
        <v>41071</v>
      </c>
      <c r="B361">
        <v>16668.009999999998</v>
      </c>
      <c r="C361">
        <v>104.95</v>
      </c>
      <c r="D361">
        <v>-3.0500000000000002E-3</v>
      </c>
      <c r="E361">
        <v>1.15E-2</v>
      </c>
    </row>
    <row r="362" spans="1:5" ht="14.25" customHeight="1">
      <c r="A362" s="140">
        <v>41072</v>
      </c>
      <c r="B362">
        <v>16862.8</v>
      </c>
      <c r="C362">
        <v>106.05</v>
      </c>
      <c r="D362">
        <v>1.162E-2</v>
      </c>
      <c r="E362">
        <v>1.043E-2</v>
      </c>
    </row>
    <row r="363" spans="1:5" ht="14.25" customHeight="1">
      <c r="A363" s="140">
        <v>41073</v>
      </c>
      <c r="B363">
        <v>16880.509999999998</v>
      </c>
      <c r="C363">
        <v>109.6</v>
      </c>
      <c r="D363">
        <v>1.0499999999999999E-3</v>
      </c>
      <c r="E363">
        <v>3.2930000000000001E-2</v>
      </c>
    </row>
    <row r="364" spans="1:5" ht="14.25" customHeight="1">
      <c r="A364" s="140">
        <v>41074</v>
      </c>
      <c r="B364">
        <v>16677.88</v>
      </c>
      <c r="C364">
        <v>109.5</v>
      </c>
      <c r="D364">
        <v>-1.208E-2</v>
      </c>
      <c r="E364">
        <v>-9.1E-4</v>
      </c>
    </row>
    <row r="365" spans="1:5" ht="14.25" customHeight="1">
      <c r="A365" s="140">
        <v>41075</v>
      </c>
      <c r="B365">
        <v>16949.830000000002</v>
      </c>
      <c r="C365">
        <v>110.55</v>
      </c>
      <c r="D365">
        <v>1.617E-2</v>
      </c>
      <c r="E365">
        <v>9.5399999999999999E-3</v>
      </c>
    </row>
    <row r="366" spans="1:5" ht="14.25" customHeight="1">
      <c r="A366" s="140">
        <v>41078</v>
      </c>
      <c r="B366">
        <v>16705.830000000002</v>
      </c>
      <c r="C366">
        <v>108.35</v>
      </c>
      <c r="D366">
        <v>-1.4500000000000001E-2</v>
      </c>
      <c r="E366">
        <v>-2.01E-2</v>
      </c>
    </row>
    <row r="367" spans="1:5" ht="14.25" customHeight="1">
      <c r="A367" s="140">
        <v>41079</v>
      </c>
      <c r="B367">
        <v>16859.8</v>
      </c>
      <c r="C367">
        <v>108.95</v>
      </c>
      <c r="D367">
        <v>9.1699999999999993E-3</v>
      </c>
      <c r="E367">
        <v>5.5199999999999997E-3</v>
      </c>
    </row>
    <row r="368" spans="1:5" ht="14.25" customHeight="1">
      <c r="A368" s="140">
        <v>41080</v>
      </c>
      <c r="B368">
        <v>16896.63</v>
      </c>
      <c r="C368">
        <v>110</v>
      </c>
      <c r="D368">
        <v>2.1800000000000001E-3</v>
      </c>
      <c r="E368">
        <v>9.5899999999999996E-3</v>
      </c>
    </row>
    <row r="369" spans="1:5" ht="14.25" customHeight="1">
      <c r="A369" s="140">
        <v>41081</v>
      </c>
      <c r="B369">
        <v>17032.560000000001</v>
      </c>
      <c r="C369">
        <v>112.9</v>
      </c>
      <c r="D369">
        <v>8.0099999999999998E-3</v>
      </c>
      <c r="E369">
        <v>2.6020000000000001E-2</v>
      </c>
    </row>
    <row r="370" spans="1:5" ht="14.25" customHeight="1">
      <c r="A370" s="140">
        <v>41082</v>
      </c>
      <c r="B370">
        <v>16972.509999999998</v>
      </c>
      <c r="C370">
        <v>111.85</v>
      </c>
      <c r="D370">
        <v>-3.5300000000000002E-3</v>
      </c>
      <c r="E370">
        <v>-9.3399999999999993E-3</v>
      </c>
    </row>
    <row r="371" spans="1:5" ht="14.25" customHeight="1">
      <c r="A371" s="140">
        <v>41085</v>
      </c>
      <c r="B371">
        <v>16882.16</v>
      </c>
      <c r="C371">
        <v>111.4</v>
      </c>
      <c r="D371">
        <v>-5.3400000000000001E-3</v>
      </c>
      <c r="E371">
        <v>-4.0299999999999997E-3</v>
      </c>
    </row>
    <row r="372" spans="1:5" ht="14.25" customHeight="1">
      <c r="A372" s="140">
        <v>41086</v>
      </c>
      <c r="B372">
        <v>16906.580000000002</v>
      </c>
      <c r="C372">
        <v>113.1</v>
      </c>
      <c r="D372">
        <v>1.4499999999999999E-3</v>
      </c>
      <c r="E372">
        <v>1.515E-2</v>
      </c>
    </row>
    <row r="373" spans="1:5" ht="14.25" customHeight="1">
      <c r="A373" s="140">
        <v>41087</v>
      </c>
      <c r="B373">
        <v>16967.759999999998</v>
      </c>
      <c r="C373">
        <v>112.85</v>
      </c>
      <c r="D373">
        <v>3.6099999999999999E-3</v>
      </c>
      <c r="E373">
        <v>-2.2100000000000002E-3</v>
      </c>
    </row>
    <row r="374" spans="1:5" ht="14.25" customHeight="1">
      <c r="A374" s="140">
        <v>41088</v>
      </c>
      <c r="B374">
        <v>16990.759999999998</v>
      </c>
      <c r="C374">
        <v>113.55</v>
      </c>
      <c r="D374">
        <v>1.3500000000000001E-3</v>
      </c>
      <c r="E374">
        <v>6.1799999999999997E-3</v>
      </c>
    </row>
    <row r="375" spans="1:5" ht="14.25" customHeight="1">
      <c r="A375" s="140">
        <v>41089</v>
      </c>
      <c r="B375">
        <v>17429.98</v>
      </c>
      <c r="C375">
        <v>114.05</v>
      </c>
      <c r="D375">
        <v>2.5520000000000001E-2</v>
      </c>
      <c r="E375">
        <v>4.3899999999999998E-3</v>
      </c>
    </row>
    <row r="376" spans="1:5" ht="14.25" customHeight="1">
      <c r="A376" s="140">
        <v>41092</v>
      </c>
      <c r="B376">
        <v>17398.98</v>
      </c>
      <c r="C376">
        <v>113.6</v>
      </c>
      <c r="D376">
        <v>-1.7799999999999999E-3</v>
      </c>
      <c r="E376">
        <v>-3.9500000000000004E-3</v>
      </c>
    </row>
    <row r="377" spans="1:5" ht="14.25" customHeight="1">
      <c r="A377" s="140">
        <v>41093</v>
      </c>
      <c r="B377">
        <v>17425.71</v>
      </c>
      <c r="C377">
        <v>112.9</v>
      </c>
      <c r="D377">
        <v>1.5399999999999999E-3</v>
      </c>
      <c r="E377">
        <v>-6.1799999999999997E-3</v>
      </c>
    </row>
    <row r="378" spans="1:5" ht="14.25" customHeight="1">
      <c r="A378" s="140">
        <v>41094</v>
      </c>
      <c r="B378">
        <v>17462.810000000001</v>
      </c>
      <c r="C378">
        <v>113.95</v>
      </c>
      <c r="D378">
        <v>2.1299999999999999E-3</v>
      </c>
      <c r="E378">
        <v>9.2599999999999991E-3</v>
      </c>
    </row>
    <row r="379" spans="1:5" ht="14.25" customHeight="1">
      <c r="A379" s="140">
        <v>41095</v>
      </c>
      <c r="B379">
        <v>17538.669999999998</v>
      </c>
      <c r="C379">
        <v>114.65</v>
      </c>
      <c r="D379">
        <v>4.3299999999999996E-3</v>
      </c>
      <c r="E379">
        <v>6.1199999999999996E-3</v>
      </c>
    </row>
    <row r="380" spans="1:5" ht="14.25" customHeight="1">
      <c r="A380" s="140">
        <v>41096</v>
      </c>
      <c r="B380">
        <v>17521.12</v>
      </c>
      <c r="C380">
        <v>114.9</v>
      </c>
      <c r="D380">
        <v>-1E-3</v>
      </c>
      <c r="E380">
        <v>2.1800000000000001E-3</v>
      </c>
    </row>
    <row r="381" spans="1:5" ht="14.25" customHeight="1">
      <c r="A381" s="140">
        <v>41099</v>
      </c>
      <c r="B381">
        <v>17391.98</v>
      </c>
      <c r="C381">
        <v>115</v>
      </c>
      <c r="D381">
        <v>-7.4000000000000003E-3</v>
      </c>
      <c r="E381">
        <v>8.7000000000000001E-4</v>
      </c>
    </row>
    <row r="382" spans="1:5" ht="14.25" customHeight="1">
      <c r="A382" s="140">
        <v>41100</v>
      </c>
      <c r="B382">
        <v>17618.349999999999</v>
      </c>
      <c r="C382">
        <v>114.95</v>
      </c>
      <c r="D382">
        <v>1.2930000000000001E-2</v>
      </c>
      <c r="E382">
        <v>-4.2999999999999999E-4</v>
      </c>
    </row>
    <row r="383" spans="1:5" ht="14.25" customHeight="1">
      <c r="A383" s="140">
        <v>41101</v>
      </c>
      <c r="B383">
        <v>17489.14</v>
      </c>
      <c r="C383">
        <v>115.2</v>
      </c>
      <c r="D383">
        <v>-7.3600000000000002E-3</v>
      </c>
      <c r="E383">
        <v>2.1700000000000001E-3</v>
      </c>
    </row>
    <row r="384" spans="1:5" ht="14.25" customHeight="1">
      <c r="A384" s="140">
        <v>41102</v>
      </c>
      <c r="B384">
        <v>17232.55</v>
      </c>
      <c r="C384">
        <v>115.55</v>
      </c>
      <c r="D384">
        <v>-1.478E-2</v>
      </c>
      <c r="E384">
        <v>3.0300000000000001E-3</v>
      </c>
    </row>
    <row r="385" spans="1:5" ht="14.25" customHeight="1">
      <c r="A385" s="140">
        <v>41103</v>
      </c>
      <c r="B385">
        <v>17213.7</v>
      </c>
      <c r="C385">
        <v>114.25</v>
      </c>
      <c r="D385">
        <v>-1.09E-3</v>
      </c>
      <c r="E385">
        <v>-1.1310000000000001E-2</v>
      </c>
    </row>
    <row r="386" spans="1:5" ht="14.25" customHeight="1">
      <c r="A386" s="140">
        <v>41106</v>
      </c>
      <c r="B386">
        <v>17103.310000000001</v>
      </c>
      <c r="C386">
        <v>113.5</v>
      </c>
      <c r="D386">
        <v>-6.43E-3</v>
      </c>
      <c r="E386">
        <v>-6.5900000000000004E-3</v>
      </c>
    </row>
    <row r="387" spans="1:5" ht="14.25" customHeight="1">
      <c r="A387" s="140">
        <v>41107</v>
      </c>
      <c r="B387">
        <v>17105.3</v>
      </c>
      <c r="C387">
        <v>115.15</v>
      </c>
      <c r="D387">
        <v>1.2E-4</v>
      </c>
      <c r="E387">
        <v>1.443E-2</v>
      </c>
    </row>
    <row r="388" spans="1:5" ht="14.25" customHeight="1">
      <c r="A388" s="140">
        <v>41108</v>
      </c>
      <c r="B388">
        <v>17185.009999999998</v>
      </c>
      <c r="C388">
        <v>115.35</v>
      </c>
      <c r="D388">
        <v>4.6499999999999996E-3</v>
      </c>
      <c r="E388">
        <v>1.74E-3</v>
      </c>
    </row>
    <row r="389" spans="1:5" ht="14.25" customHeight="1">
      <c r="A389" s="140">
        <v>41109</v>
      </c>
      <c r="B389">
        <v>17278.849999999999</v>
      </c>
      <c r="C389">
        <v>115.1</v>
      </c>
      <c r="D389">
        <v>5.45E-3</v>
      </c>
      <c r="E389">
        <v>-2.1700000000000001E-3</v>
      </c>
    </row>
    <row r="390" spans="1:5" ht="14.25" customHeight="1">
      <c r="A390" s="140">
        <v>41110</v>
      </c>
      <c r="B390">
        <v>17158.439999999999</v>
      </c>
      <c r="C390">
        <v>118</v>
      </c>
      <c r="D390">
        <v>-6.9899999999999997E-3</v>
      </c>
      <c r="E390">
        <v>2.4879999999999999E-2</v>
      </c>
    </row>
    <row r="391" spans="1:5" ht="14.25" customHeight="1">
      <c r="A391" s="140">
        <v>41113</v>
      </c>
      <c r="B391">
        <v>16877.349999999999</v>
      </c>
      <c r="C391">
        <v>118.15</v>
      </c>
      <c r="D391">
        <v>-1.652E-2</v>
      </c>
      <c r="E391">
        <v>1.2700000000000001E-3</v>
      </c>
    </row>
    <row r="392" spans="1:5" ht="14.25" customHeight="1">
      <c r="A392" s="140">
        <v>41114</v>
      </c>
      <c r="B392">
        <v>16918.080000000002</v>
      </c>
      <c r="C392">
        <v>118.25</v>
      </c>
      <c r="D392">
        <v>2.4099999999999998E-3</v>
      </c>
      <c r="E392">
        <v>8.4999999999999995E-4</v>
      </c>
    </row>
    <row r="393" spans="1:5" ht="14.25" customHeight="1">
      <c r="A393" s="140">
        <v>41115</v>
      </c>
      <c r="B393">
        <v>16846.05</v>
      </c>
      <c r="C393">
        <v>115.55</v>
      </c>
      <c r="D393">
        <v>-4.2700000000000004E-3</v>
      </c>
      <c r="E393">
        <v>-2.3099999999999999E-2</v>
      </c>
    </row>
    <row r="394" spans="1:5" ht="14.25" customHeight="1">
      <c r="A394" s="140">
        <v>41116</v>
      </c>
      <c r="B394">
        <v>16639.82</v>
      </c>
      <c r="C394">
        <v>116.85</v>
      </c>
      <c r="D394">
        <v>-1.2319999999999999E-2</v>
      </c>
      <c r="E394">
        <v>1.119E-2</v>
      </c>
    </row>
    <row r="395" spans="1:5" ht="14.25" customHeight="1">
      <c r="A395" s="140">
        <v>41117</v>
      </c>
      <c r="B395">
        <v>16839.189999999999</v>
      </c>
      <c r="C395">
        <v>118.25</v>
      </c>
      <c r="D395">
        <v>1.191E-2</v>
      </c>
      <c r="E395">
        <v>1.191E-2</v>
      </c>
    </row>
    <row r="396" spans="1:5" ht="14.25" customHeight="1">
      <c r="A396" s="140">
        <v>41120</v>
      </c>
      <c r="B396">
        <v>17143.68</v>
      </c>
      <c r="C396">
        <v>120.2</v>
      </c>
      <c r="D396">
        <v>1.7919999999999998E-2</v>
      </c>
      <c r="E396">
        <v>1.636E-2</v>
      </c>
    </row>
    <row r="397" spans="1:5" ht="14.25" customHeight="1">
      <c r="A397" s="140">
        <v>41121</v>
      </c>
      <c r="B397">
        <v>17236.18</v>
      </c>
      <c r="C397">
        <v>119.2</v>
      </c>
      <c r="D397">
        <v>5.3800000000000002E-3</v>
      </c>
      <c r="E397">
        <v>-8.3499999999999998E-3</v>
      </c>
    </row>
    <row r="398" spans="1:5" ht="14.25" customHeight="1">
      <c r="A398" s="140">
        <v>41122</v>
      </c>
      <c r="B398">
        <v>17257.38</v>
      </c>
      <c r="C398">
        <v>120.95</v>
      </c>
      <c r="D398">
        <v>1.23E-3</v>
      </c>
      <c r="E398">
        <v>1.457E-2</v>
      </c>
    </row>
    <row r="399" spans="1:5" ht="14.25" customHeight="1">
      <c r="A399" s="140">
        <v>41123</v>
      </c>
      <c r="B399">
        <v>17224.36</v>
      </c>
      <c r="C399">
        <v>120.4</v>
      </c>
      <c r="D399">
        <v>-1.92E-3</v>
      </c>
      <c r="E399">
        <v>-4.5599999999999998E-3</v>
      </c>
    </row>
    <row r="400" spans="1:5" ht="14.25" customHeight="1">
      <c r="A400" s="140">
        <v>41124</v>
      </c>
      <c r="B400">
        <v>17197.93</v>
      </c>
      <c r="C400">
        <v>121.25</v>
      </c>
      <c r="D400">
        <v>-1.5399999999999999E-3</v>
      </c>
      <c r="E400">
        <v>7.0299999999999998E-3</v>
      </c>
    </row>
    <row r="401" spans="1:5" ht="14.25" customHeight="1">
      <c r="A401" s="140">
        <v>41127</v>
      </c>
      <c r="B401">
        <v>17412.96</v>
      </c>
      <c r="C401">
        <v>119.05</v>
      </c>
      <c r="D401">
        <v>1.243E-2</v>
      </c>
      <c r="E401">
        <v>-1.831E-2</v>
      </c>
    </row>
    <row r="402" spans="1:5" ht="14.25" customHeight="1">
      <c r="A402" s="140">
        <v>41128</v>
      </c>
      <c r="B402">
        <v>17601.78</v>
      </c>
      <c r="C402">
        <v>120.15</v>
      </c>
      <c r="D402">
        <v>1.0789999999999999E-2</v>
      </c>
      <c r="E402">
        <v>9.1999999999999998E-3</v>
      </c>
    </row>
    <row r="403" spans="1:5" ht="14.25" customHeight="1">
      <c r="A403" s="140">
        <v>41129</v>
      </c>
      <c r="B403">
        <v>17600.560000000001</v>
      </c>
      <c r="C403">
        <v>119.75</v>
      </c>
      <c r="D403">
        <v>-6.9999999999999994E-5</v>
      </c>
      <c r="E403">
        <v>-3.3300000000000001E-3</v>
      </c>
    </row>
    <row r="404" spans="1:5" ht="14.25" customHeight="1">
      <c r="A404" s="140">
        <v>41130</v>
      </c>
      <c r="B404">
        <v>17560.87</v>
      </c>
      <c r="C404">
        <v>120.15</v>
      </c>
      <c r="D404">
        <v>-2.2599999999999999E-3</v>
      </c>
      <c r="E404">
        <v>3.3300000000000001E-3</v>
      </c>
    </row>
    <row r="405" spans="1:5" ht="14.25" customHeight="1">
      <c r="A405" s="140">
        <v>41131</v>
      </c>
      <c r="B405">
        <v>17557.740000000002</v>
      </c>
      <c r="C405">
        <v>119.95</v>
      </c>
      <c r="D405">
        <v>-1.8000000000000001E-4</v>
      </c>
      <c r="E405">
        <v>-1.67E-3</v>
      </c>
    </row>
    <row r="406" spans="1:5" ht="14.25" customHeight="1">
      <c r="A406" s="140">
        <v>41134</v>
      </c>
      <c r="B406">
        <v>17633.45</v>
      </c>
      <c r="C406">
        <v>123.1</v>
      </c>
      <c r="D406">
        <v>4.3E-3</v>
      </c>
      <c r="E406">
        <v>2.5919999999999999E-2</v>
      </c>
    </row>
    <row r="407" spans="1:5" ht="14.25" customHeight="1">
      <c r="A407" s="140">
        <v>41135</v>
      </c>
      <c r="B407">
        <v>17728.2</v>
      </c>
      <c r="C407">
        <v>122.35</v>
      </c>
      <c r="D407">
        <v>5.3600000000000002E-3</v>
      </c>
      <c r="E407">
        <v>-6.11E-3</v>
      </c>
    </row>
    <row r="408" spans="1:5" ht="14.25" customHeight="1">
      <c r="A408" s="140">
        <v>41137</v>
      </c>
      <c r="B408">
        <v>17657.21</v>
      </c>
      <c r="C408">
        <v>118.15</v>
      </c>
      <c r="D408">
        <v>-4.0099999999999997E-3</v>
      </c>
      <c r="E408">
        <v>-3.4930000000000003E-2</v>
      </c>
    </row>
    <row r="409" spans="1:5" ht="14.25" customHeight="1">
      <c r="A409" s="140">
        <v>41138</v>
      </c>
      <c r="B409">
        <v>17691.080000000002</v>
      </c>
      <c r="C409">
        <v>119.3</v>
      </c>
      <c r="D409">
        <v>1.92E-3</v>
      </c>
      <c r="E409">
        <v>9.6900000000000007E-3</v>
      </c>
    </row>
    <row r="410" spans="1:5" ht="14.25" customHeight="1">
      <c r="A410" s="140">
        <v>41142</v>
      </c>
      <c r="B410">
        <v>17885.259999999998</v>
      </c>
      <c r="C410">
        <v>119.15</v>
      </c>
      <c r="D410">
        <v>1.0919999999999999E-2</v>
      </c>
      <c r="E410">
        <v>-1.2600000000000001E-3</v>
      </c>
    </row>
    <row r="411" spans="1:5" ht="14.25" customHeight="1">
      <c r="A411" s="140">
        <v>41143</v>
      </c>
      <c r="B411">
        <v>17846.86</v>
      </c>
      <c r="C411">
        <v>119.1</v>
      </c>
      <c r="D411">
        <v>-2.15E-3</v>
      </c>
      <c r="E411">
        <v>-4.2000000000000002E-4</v>
      </c>
    </row>
    <row r="412" spans="1:5" ht="14.25" customHeight="1">
      <c r="A412" s="140">
        <v>41144</v>
      </c>
      <c r="B412">
        <v>17850.22</v>
      </c>
      <c r="C412">
        <v>119.55</v>
      </c>
      <c r="D412">
        <v>1.9000000000000001E-4</v>
      </c>
      <c r="E412">
        <v>3.7699999999999999E-3</v>
      </c>
    </row>
    <row r="413" spans="1:5" ht="14.25" customHeight="1">
      <c r="A413" s="140">
        <v>41145</v>
      </c>
      <c r="B413">
        <v>17783.21</v>
      </c>
      <c r="C413">
        <v>123.05</v>
      </c>
      <c r="D413">
        <v>-3.7599999999999999E-3</v>
      </c>
      <c r="E413">
        <v>2.886E-2</v>
      </c>
    </row>
    <row r="414" spans="1:5" ht="14.25" customHeight="1">
      <c r="A414" s="140">
        <v>41148</v>
      </c>
      <c r="B414">
        <v>17678.810000000001</v>
      </c>
      <c r="C414">
        <v>122.8</v>
      </c>
      <c r="D414">
        <v>-5.8900000000000003E-3</v>
      </c>
      <c r="E414">
        <v>-2.0300000000000001E-3</v>
      </c>
    </row>
    <row r="415" spans="1:5" ht="14.25" customHeight="1">
      <c r="A415" s="140">
        <v>41149</v>
      </c>
      <c r="B415">
        <v>17631.71</v>
      </c>
      <c r="C415">
        <v>121.4</v>
      </c>
      <c r="D415">
        <v>-2.6700000000000001E-3</v>
      </c>
      <c r="E415">
        <v>-1.1469999999999999E-2</v>
      </c>
    </row>
    <row r="416" spans="1:5" ht="14.25" customHeight="1">
      <c r="A416" s="140">
        <v>41150</v>
      </c>
      <c r="B416">
        <v>17490.810000000001</v>
      </c>
      <c r="C416">
        <v>124.75</v>
      </c>
      <c r="D416">
        <v>-8.0199999999999994E-3</v>
      </c>
      <c r="E416">
        <v>2.7220000000000001E-2</v>
      </c>
    </row>
    <row r="417" spans="1:5" ht="14.25" customHeight="1">
      <c r="A417" s="140">
        <v>41151</v>
      </c>
      <c r="B417">
        <v>17541.64</v>
      </c>
      <c r="C417">
        <v>123.9</v>
      </c>
      <c r="D417">
        <v>2.8999999999999998E-3</v>
      </c>
      <c r="E417">
        <v>-6.8399999999999997E-3</v>
      </c>
    </row>
    <row r="418" spans="1:5" ht="14.25" customHeight="1">
      <c r="A418" s="140">
        <v>41152</v>
      </c>
      <c r="B418">
        <v>17429.560000000001</v>
      </c>
      <c r="C418">
        <v>123.5</v>
      </c>
      <c r="D418">
        <v>-6.4099999999999999E-3</v>
      </c>
      <c r="E418">
        <v>-3.2299999999999998E-3</v>
      </c>
    </row>
    <row r="419" spans="1:5" ht="14.25" customHeight="1">
      <c r="A419" s="140">
        <v>41155</v>
      </c>
      <c r="B419">
        <v>17384.400000000001</v>
      </c>
      <c r="C419">
        <v>125.05</v>
      </c>
      <c r="D419">
        <v>-2.5899999999999999E-3</v>
      </c>
      <c r="E419">
        <v>1.247E-2</v>
      </c>
    </row>
    <row r="420" spans="1:5" ht="14.25" customHeight="1">
      <c r="A420" s="140">
        <v>41156</v>
      </c>
      <c r="B420">
        <v>17440.87</v>
      </c>
      <c r="C420">
        <v>127.85</v>
      </c>
      <c r="D420">
        <v>3.2399999999999998E-3</v>
      </c>
      <c r="E420">
        <v>2.214E-2</v>
      </c>
    </row>
    <row r="421" spans="1:5" ht="14.25" customHeight="1">
      <c r="A421" s="140">
        <v>41157</v>
      </c>
      <c r="B421">
        <v>17313.34</v>
      </c>
      <c r="C421">
        <v>127.6</v>
      </c>
      <c r="D421">
        <v>-7.3400000000000002E-3</v>
      </c>
      <c r="E421">
        <v>-1.9599999999999999E-3</v>
      </c>
    </row>
    <row r="422" spans="1:5" ht="14.25" customHeight="1">
      <c r="A422" s="140">
        <v>41158</v>
      </c>
      <c r="B422">
        <v>17346.27</v>
      </c>
      <c r="C422">
        <v>127.6</v>
      </c>
      <c r="D422">
        <v>1.9E-3</v>
      </c>
      <c r="E422">
        <v>0</v>
      </c>
    </row>
    <row r="423" spans="1:5" ht="14.25" customHeight="1">
      <c r="A423" s="140">
        <v>41159</v>
      </c>
      <c r="B423">
        <v>17683.73</v>
      </c>
      <c r="C423">
        <v>128.44999999999999</v>
      </c>
      <c r="D423">
        <v>1.9269999999999999E-2</v>
      </c>
      <c r="E423">
        <v>6.6400000000000001E-3</v>
      </c>
    </row>
    <row r="424" spans="1:5" ht="14.25" customHeight="1">
      <c r="A424" s="140">
        <v>41160</v>
      </c>
      <c r="B424">
        <v>17749.650000000001</v>
      </c>
      <c r="C424">
        <v>129.25</v>
      </c>
      <c r="D424">
        <v>3.7200000000000002E-3</v>
      </c>
      <c r="E424">
        <v>6.2100000000000002E-3</v>
      </c>
    </row>
    <row r="425" spans="1:5" ht="14.25" customHeight="1">
      <c r="A425" s="140">
        <v>41162</v>
      </c>
      <c r="B425">
        <v>17766.78</v>
      </c>
      <c r="C425">
        <v>129.44999999999999</v>
      </c>
      <c r="D425">
        <v>9.6000000000000002E-4</v>
      </c>
      <c r="E425">
        <v>1.5499999999999999E-3</v>
      </c>
    </row>
    <row r="426" spans="1:5" ht="14.25" customHeight="1">
      <c r="A426" s="140">
        <v>41163</v>
      </c>
      <c r="B426">
        <v>17852.95</v>
      </c>
      <c r="C426">
        <v>130.80000000000001</v>
      </c>
      <c r="D426">
        <v>4.8399999999999997E-3</v>
      </c>
      <c r="E426">
        <v>1.0370000000000001E-2</v>
      </c>
    </row>
    <row r="427" spans="1:5" ht="14.25" customHeight="1">
      <c r="A427" s="140">
        <v>41164</v>
      </c>
      <c r="B427">
        <v>18000.03</v>
      </c>
      <c r="C427">
        <v>128.65</v>
      </c>
      <c r="D427">
        <v>8.2000000000000007E-3</v>
      </c>
      <c r="E427">
        <v>-1.6570000000000001E-2</v>
      </c>
    </row>
    <row r="428" spans="1:5" ht="14.25" customHeight="1">
      <c r="A428" s="140">
        <v>41165</v>
      </c>
      <c r="B428">
        <v>18021.16</v>
      </c>
      <c r="C428">
        <v>127.05</v>
      </c>
      <c r="D428">
        <v>1.17E-3</v>
      </c>
      <c r="E428">
        <v>-1.251E-2</v>
      </c>
    </row>
    <row r="429" spans="1:5" ht="14.25" customHeight="1">
      <c r="A429" s="140">
        <v>41166</v>
      </c>
      <c r="B429">
        <v>18464.27</v>
      </c>
      <c r="C429">
        <v>127.2</v>
      </c>
      <c r="D429">
        <v>2.4289999999999999E-2</v>
      </c>
      <c r="E429">
        <v>1.1800000000000001E-3</v>
      </c>
    </row>
    <row r="430" spans="1:5" ht="14.25" customHeight="1">
      <c r="A430" s="140">
        <v>41169</v>
      </c>
      <c r="B430">
        <v>18542.310000000001</v>
      </c>
      <c r="C430">
        <v>124.25</v>
      </c>
      <c r="D430">
        <v>4.2199999999999998E-3</v>
      </c>
      <c r="E430">
        <v>-2.3460000000000002E-2</v>
      </c>
    </row>
    <row r="431" spans="1:5" ht="14.25" customHeight="1">
      <c r="A431" s="140">
        <v>41170</v>
      </c>
      <c r="B431">
        <v>18496.009999999998</v>
      </c>
      <c r="C431">
        <v>124.9</v>
      </c>
      <c r="D431">
        <v>-2.5000000000000001E-3</v>
      </c>
      <c r="E431">
        <v>5.2199999999999998E-3</v>
      </c>
    </row>
    <row r="432" spans="1:5" ht="14.25" customHeight="1">
      <c r="A432" s="140">
        <v>41172</v>
      </c>
      <c r="B432">
        <v>18349.25</v>
      </c>
      <c r="C432">
        <v>123.85</v>
      </c>
      <c r="D432">
        <v>-7.9699999999999997E-3</v>
      </c>
      <c r="E432">
        <v>-8.4399999999999996E-3</v>
      </c>
    </row>
    <row r="433" spans="1:5" ht="14.25" customHeight="1">
      <c r="A433" s="140">
        <v>41173</v>
      </c>
      <c r="B433">
        <v>18752.830000000002</v>
      </c>
      <c r="C433">
        <v>125.1</v>
      </c>
      <c r="D433">
        <v>2.1760000000000002E-2</v>
      </c>
      <c r="E433">
        <v>1.004E-2</v>
      </c>
    </row>
    <row r="434" spans="1:5" ht="14.25" customHeight="1">
      <c r="A434" s="140">
        <v>41176</v>
      </c>
      <c r="B434">
        <v>18673.34</v>
      </c>
      <c r="C434">
        <v>124.5</v>
      </c>
      <c r="D434">
        <v>-4.2500000000000003E-3</v>
      </c>
      <c r="E434">
        <v>-4.81E-3</v>
      </c>
    </row>
    <row r="435" spans="1:5" ht="14.25" customHeight="1">
      <c r="A435" s="140">
        <v>41177</v>
      </c>
      <c r="B435">
        <v>18694.41</v>
      </c>
      <c r="C435">
        <v>124.65</v>
      </c>
      <c r="D435">
        <v>1.1299999999999999E-3</v>
      </c>
      <c r="E435">
        <v>1.1999999999999999E-3</v>
      </c>
    </row>
    <row r="436" spans="1:5" ht="14.25" customHeight="1">
      <c r="A436" s="140">
        <v>41178</v>
      </c>
      <c r="B436">
        <v>18632.169999999998</v>
      </c>
      <c r="C436">
        <v>124.2</v>
      </c>
      <c r="D436">
        <v>-3.3300000000000001E-3</v>
      </c>
      <c r="E436">
        <v>-3.62E-3</v>
      </c>
    </row>
    <row r="437" spans="1:5" ht="14.25" customHeight="1">
      <c r="A437" s="140">
        <v>41179</v>
      </c>
      <c r="B437">
        <v>18579.5</v>
      </c>
      <c r="C437">
        <v>124</v>
      </c>
      <c r="D437">
        <v>-2.8300000000000001E-3</v>
      </c>
      <c r="E437">
        <v>-1.6100000000000001E-3</v>
      </c>
    </row>
    <row r="438" spans="1:5" ht="14.25" customHeight="1">
      <c r="A438" s="140">
        <v>41180</v>
      </c>
      <c r="B438">
        <v>18762.740000000002</v>
      </c>
      <c r="C438">
        <v>128.1</v>
      </c>
      <c r="D438">
        <v>9.8099999999999993E-3</v>
      </c>
      <c r="E438">
        <v>3.2530000000000003E-2</v>
      </c>
    </row>
    <row r="439" spans="1:5" ht="14.25" customHeight="1">
      <c r="A439" s="140">
        <v>41183</v>
      </c>
      <c r="B439">
        <v>18823.91</v>
      </c>
      <c r="C439">
        <v>127.95</v>
      </c>
      <c r="D439">
        <v>3.2499999999999999E-3</v>
      </c>
      <c r="E439">
        <v>-1.17E-3</v>
      </c>
    </row>
    <row r="440" spans="1:5" ht="14.25" customHeight="1">
      <c r="A440" s="140">
        <v>41185</v>
      </c>
      <c r="B440">
        <v>18869.689999999999</v>
      </c>
      <c r="C440">
        <v>128.94999999999999</v>
      </c>
      <c r="D440">
        <v>2.4299999999999999E-3</v>
      </c>
      <c r="E440">
        <v>7.79E-3</v>
      </c>
    </row>
    <row r="441" spans="1:5" ht="14.25" customHeight="1">
      <c r="A441" s="140">
        <v>41186</v>
      </c>
      <c r="B441">
        <v>19058.150000000001</v>
      </c>
      <c r="C441">
        <v>129.05000000000001</v>
      </c>
      <c r="D441">
        <v>9.9399999999999992E-3</v>
      </c>
      <c r="E441">
        <v>7.7999999999999999E-4</v>
      </c>
    </row>
    <row r="442" spans="1:5" ht="14.25" customHeight="1">
      <c r="A442" s="140">
        <v>41187</v>
      </c>
      <c r="B442">
        <v>18938.46</v>
      </c>
      <c r="C442">
        <v>132.9</v>
      </c>
      <c r="D442">
        <v>-6.3E-3</v>
      </c>
      <c r="E442">
        <v>2.9399999999999999E-2</v>
      </c>
    </row>
    <row r="443" spans="1:5" ht="14.25" customHeight="1">
      <c r="A443" s="140">
        <v>41190</v>
      </c>
      <c r="B443">
        <v>18708.98</v>
      </c>
      <c r="C443">
        <v>132.05000000000001</v>
      </c>
      <c r="D443">
        <v>-1.2189999999999999E-2</v>
      </c>
      <c r="E443">
        <v>-6.4200000000000004E-3</v>
      </c>
    </row>
    <row r="444" spans="1:5" ht="14.25" customHeight="1">
      <c r="A444" s="140">
        <v>41191</v>
      </c>
      <c r="B444">
        <v>18793.36</v>
      </c>
      <c r="C444">
        <v>131</v>
      </c>
      <c r="D444">
        <v>4.4999999999999997E-3</v>
      </c>
      <c r="E444">
        <v>-7.9799999999999992E-3</v>
      </c>
    </row>
    <row r="445" spans="1:5" ht="14.25" customHeight="1">
      <c r="A445" s="140">
        <v>41192</v>
      </c>
      <c r="B445">
        <v>18631.099999999999</v>
      </c>
      <c r="C445">
        <v>129.35</v>
      </c>
      <c r="D445">
        <v>-8.6700000000000006E-3</v>
      </c>
      <c r="E445">
        <v>-1.268E-2</v>
      </c>
    </row>
    <row r="446" spans="1:5" ht="14.25" customHeight="1">
      <c r="A446" s="140">
        <v>41193</v>
      </c>
      <c r="B446">
        <v>18804.75</v>
      </c>
      <c r="C446">
        <v>130.4</v>
      </c>
      <c r="D446">
        <v>9.2800000000000001E-3</v>
      </c>
      <c r="E446">
        <v>8.0800000000000004E-3</v>
      </c>
    </row>
    <row r="447" spans="1:5" ht="14.25" customHeight="1">
      <c r="A447" s="140">
        <v>41194</v>
      </c>
      <c r="B447">
        <v>18675.18</v>
      </c>
      <c r="C447">
        <v>135.25</v>
      </c>
      <c r="D447">
        <v>-6.9100000000000003E-3</v>
      </c>
      <c r="E447">
        <v>3.6519999999999997E-2</v>
      </c>
    </row>
    <row r="448" spans="1:5" ht="14.25" customHeight="1">
      <c r="A448" s="140">
        <v>41197</v>
      </c>
      <c r="B448">
        <v>18713.55</v>
      </c>
      <c r="C448">
        <v>134.44999999999999</v>
      </c>
      <c r="D448">
        <v>2.0500000000000002E-3</v>
      </c>
      <c r="E448">
        <v>-5.9300000000000004E-3</v>
      </c>
    </row>
    <row r="449" spans="1:5" ht="14.25" customHeight="1">
      <c r="A449" s="140">
        <v>41198</v>
      </c>
      <c r="B449">
        <v>18577.7</v>
      </c>
      <c r="C449">
        <v>134.75</v>
      </c>
      <c r="D449">
        <v>-7.2899999999999996E-3</v>
      </c>
      <c r="E449">
        <v>2.2300000000000002E-3</v>
      </c>
    </row>
    <row r="450" spans="1:5" ht="14.25" customHeight="1">
      <c r="A450" s="140">
        <v>41199</v>
      </c>
      <c r="B450">
        <v>18610.77</v>
      </c>
      <c r="C450">
        <v>132.15</v>
      </c>
      <c r="D450">
        <v>1.7799999999999999E-3</v>
      </c>
      <c r="E450">
        <v>-1.9480000000000001E-2</v>
      </c>
    </row>
    <row r="451" spans="1:5" ht="14.25" customHeight="1">
      <c r="A451" s="140">
        <v>41200</v>
      </c>
      <c r="B451">
        <v>18791.93</v>
      </c>
      <c r="C451">
        <v>131.9</v>
      </c>
      <c r="D451">
        <v>9.6900000000000007E-3</v>
      </c>
      <c r="E451">
        <v>-1.89E-3</v>
      </c>
    </row>
    <row r="452" spans="1:5" ht="14.25" customHeight="1">
      <c r="A452" s="140">
        <v>41201</v>
      </c>
      <c r="B452">
        <v>18682.310000000001</v>
      </c>
      <c r="C452">
        <v>130.85</v>
      </c>
      <c r="D452">
        <v>-5.8500000000000002E-3</v>
      </c>
      <c r="E452">
        <v>-7.9900000000000006E-3</v>
      </c>
    </row>
    <row r="453" spans="1:5" ht="14.25" customHeight="1">
      <c r="A453" s="140">
        <v>41204</v>
      </c>
      <c r="B453">
        <v>18793.439999999999</v>
      </c>
      <c r="C453">
        <v>130.6</v>
      </c>
      <c r="D453">
        <v>5.9300000000000004E-3</v>
      </c>
      <c r="E453">
        <v>-1.91E-3</v>
      </c>
    </row>
    <row r="454" spans="1:5" ht="14.25" customHeight="1">
      <c r="A454" s="140">
        <v>41205</v>
      </c>
      <c r="B454">
        <v>18710.02</v>
      </c>
      <c r="C454">
        <v>132.6</v>
      </c>
      <c r="D454">
        <v>-4.45E-3</v>
      </c>
      <c r="E454">
        <v>1.52E-2</v>
      </c>
    </row>
    <row r="455" spans="1:5" ht="14.25" customHeight="1">
      <c r="A455" s="140">
        <v>41207</v>
      </c>
      <c r="B455">
        <v>18758.63</v>
      </c>
      <c r="C455">
        <v>132.65</v>
      </c>
      <c r="D455">
        <v>2.5899999999999999E-3</v>
      </c>
      <c r="E455">
        <v>3.8000000000000002E-4</v>
      </c>
    </row>
    <row r="456" spans="1:5" ht="14.25" customHeight="1">
      <c r="A456" s="140">
        <v>41208</v>
      </c>
      <c r="B456">
        <v>18625.34</v>
      </c>
      <c r="C456">
        <v>129.80000000000001</v>
      </c>
      <c r="D456">
        <v>-7.1300000000000001E-3</v>
      </c>
      <c r="E456">
        <v>-2.172E-2</v>
      </c>
    </row>
    <row r="457" spans="1:5" ht="14.25" customHeight="1">
      <c r="A457" s="140">
        <v>41211</v>
      </c>
      <c r="B457">
        <v>18635.82</v>
      </c>
      <c r="C457">
        <v>125.4</v>
      </c>
      <c r="D457">
        <v>5.5999999999999995E-4</v>
      </c>
      <c r="E457">
        <v>-3.449E-2</v>
      </c>
    </row>
    <row r="458" spans="1:5" ht="14.25" customHeight="1">
      <c r="A458" s="140">
        <v>41212</v>
      </c>
      <c r="B458">
        <v>18430.849999999999</v>
      </c>
      <c r="C458">
        <v>124.9</v>
      </c>
      <c r="D458">
        <v>-1.106E-2</v>
      </c>
      <c r="E458">
        <v>-4.0000000000000001E-3</v>
      </c>
    </row>
    <row r="459" spans="1:5" ht="14.25" customHeight="1">
      <c r="A459" s="140">
        <v>41213</v>
      </c>
      <c r="B459">
        <v>18505.38</v>
      </c>
      <c r="C459">
        <v>124.25</v>
      </c>
      <c r="D459">
        <v>4.0400000000000002E-3</v>
      </c>
      <c r="E459">
        <v>-5.2199999999999998E-3</v>
      </c>
    </row>
    <row r="460" spans="1:5" ht="14.25" customHeight="1">
      <c r="A460" s="140">
        <v>41214</v>
      </c>
      <c r="B460">
        <v>18561.7</v>
      </c>
      <c r="C460">
        <v>124.45</v>
      </c>
      <c r="D460">
        <v>3.0400000000000002E-3</v>
      </c>
      <c r="E460">
        <v>1.6100000000000001E-3</v>
      </c>
    </row>
    <row r="461" spans="1:5" ht="14.25" customHeight="1">
      <c r="A461" s="140">
        <v>41215</v>
      </c>
      <c r="B461">
        <v>18755.45</v>
      </c>
      <c r="C461">
        <v>124.85</v>
      </c>
      <c r="D461">
        <v>1.038E-2</v>
      </c>
      <c r="E461">
        <v>3.2100000000000002E-3</v>
      </c>
    </row>
    <row r="462" spans="1:5" ht="14.25" customHeight="1">
      <c r="A462" s="140">
        <v>41218</v>
      </c>
      <c r="B462">
        <v>18762.87</v>
      </c>
      <c r="C462">
        <v>127.15</v>
      </c>
      <c r="D462">
        <v>4.0000000000000002E-4</v>
      </c>
      <c r="E462">
        <v>1.8249999999999999E-2</v>
      </c>
    </row>
    <row r="463" spans="1:5" ht="14.25" customHeight="1">
      <c r="A463" s="140">
        <v>41219</v>
      </c>
      <c r="B463">
        <v>18817.38</v>
      </c>
      <c r="C463">
        <v>127.15</v>
      </c>
      <c r="D463">
        <v>2.8999999999999998E-3</v>
      </c>
      <c r="E463">
        <v>0</v>
      </c>
    </row>
    <row r="464" spans="1:5" ht="14.25" customHeight="1">
      <c r="A464" s="140">
        <v>41220</v>
      </c>
      <c r="B464">
        <v>18902.41</v>
      </c>
      <c r="C464">
        <v>128.35</v>
      </c>
      <c r="D464">
        <v>4.5100000000000001E-3</v>
      </c>
      <c r="E464">
        <v>9.3900000000000008E-3</v>
      </c>
    </row>
    <row r="465" spans="1:5" ht="14.25" customHeight="1">
      <c r="A465" s="140">
        <v>41221</v>
      </c>
      <c r="B465">
        <v>18846.259999999998</v>
      </c>
      <c r="C465">
        <v>128.69999999999999</v>
      </c>
      <c r="D465">
        <v>-2.97E-3</v>
      </c>
      <c r="E465">
        <v>2.7200000000000002E-3</v>
      </c>
    </row>
    <row r="466" spans="1:5" ht="14.25" customHeight="1">
      <c r="A466" s="140">
        <v>41222</v>
      </c>
      <c r="B466">
        <v>18683.68</v>
      </c>
      <c r="C466">
        <v>128</v>
      </c>
      <c r="D466">
        <v>-8.6599999999999993E-3</v>
      </c>
      <c r="E466">
        <v>-5.45E-3</v>
      </c>
    </row>
    <row r="467" spans="1:5" ht="14.25" customHeight="1">
      <c r="A467" s="140">
        <v>41225</v>
      </c>
      <c r="B467">
        <v>18670.34</v>
      </c>
      <c r="C467">
        <v>125.55</v>
      </c>
      <c r="D467">
        <v>-7.1000000000000002E-4</v>
      </c>
      <c r="E467">
        <v>-1.933E-2</v>
      </c>
    </row>
    <row r="468" spans="1:5" ht="14.25" customHeight="1">
      <c r="A468" s="140">
        <v>41226</v>
      </c>
      <c r="B468">
        <v>18618.87</v>
      </c>
      <c r="C468">
        <v>126.25</v>
      </c>
      <c r="D468">
        <v>-2.7599999999999999E-3</v>
      </c>
      <c r="E468">
        <v>5.5599999999999998E-3</v>
      </c>
    </row>
    <row r="469" spans="1:5" ht="14.25" customHeight="1">
      <c r="A469" s="140">
        <v>41228</v>
      </c>
      <c r="B469">
        <v>18471.37</v>
      </c>
      <c r="C469">
        <v>128.69999999999999</v>
      </c>
      <c r="D469">
        <v>-7.9500000000000005E-3</v>
      </c>
      <c r="E469">
        <v>1.9220000000000001E-2</v>
      </c>
    </row>
    <row r="470" spans="1:5" ht="14.25" customHeight="1">
      <c r="A470" s="140">
        <v>41229</v>
      </c>
      <c r="B470">
        <v>18309.37</v>
      </c>
      <c r="C470">
        <v>126.15</v>
      </c>
      <c r="D470">
        <v>-8.8100000000000001E-3</v>
      </c>
      <c r="E470">
        <v>-2.001E-2</v>
      </c>
    </row>
    <row r="471" spans="1:5" ht="14.25" customHeight="1">
      <c r="A471" s="140">
        <v>41232</v>
      </c>
      <c r="B471">
        <v>18339</v>
      </c>
      <c r="C471">
        <v>124.85</v>
      </c>
      <c r="D471">
        <v>1.6199999999999999E-3</v>
      </c>
      <c r="E471">
        <v>-1.0359999999999999E-2</v>
      </c>
    </row>
    <row r="472" spans="1:5" ht="14.25" customHeight="1">
      <c r="A472" s="140">
        <v>41233</v>
      </c>
      <c r="B472">
        <v>18329.32</v>
      </c>
      <c r="C472">
        <v>123.65</v>
      </c>
      <c r="D472">
        <v>-5.2999999999999998E-4</v>
      </c>
      <c r="E472">
        <v>-9.6600000000000002E-3</v>
      </c>
    </row>
    <row r="473" spans="1:5" ht="14.25" customHeight="1">
      <c r="A473" s="140">
        <v>41234</v>
      </c>
      <c r="B473">
        <v>18460.38</v>
      </c>
      <c r="C473">
        <v>124.4</v>
      </c>
      <c r="D473">
        <v>7.1199999999999996E-3</v>
      </c>
      <c r="E473">
        <v>6.0499999999999998E-3</v>
      </c>
    </row>
    <row r="474" spans="1:5" ht="14.25" customHeight="1">
      <c r="A474" s="140">
        <v>41235</v>
      </c>
      <c r="B474">
        <v>18517.34</v>
      </c>
      <c r="C474">
        <v>122.85</v>
      </c>
      <c r="D474">
        <v>3.0799999999999998E-3</v>
      </c>
      <c r="E474">
        <v>-1.2540000000000001E-2</v>
      </c>
    </row>
    <row r="475" spans="1:5" ht="14.25" customHeight="1">
      <c r="A475" s="140">
        <v>41236</v>
      </c>
      <c r="B475">
        <v>18506.57</v>
      </c>
      <c r="C475">
        <v>122.15</v>
      </c>
      <c r="D475">
        <v>-5.8E-4</v>
      </c>
      <c r="E475">
        <v>-5.7099999999999998E-3</v>
      </c>
    </row>
    <row r="476" spans="1:5" ht="14.25" customHeight="1">
      <c r="A476" s="140">
        <v>41239</v>
      </c>
      <c r="B476">
        <v>18537.009999999998</v>
      </c>
      <c r="C476">
        <v>124.05</v>
      </c>
      <c r="D476">
        <v>1.64E-3</v>
      </c>
      <c r="E476">
        <v>1.5429999999999999E-2</v>
      </c>
    </row>
    <row r="477" spans="1:5" ht="14.25" customHeight="1">
      <c r="A477" s="140">
        <v>41240</v>
      </c>
      <c r="B477">
        <v>18842.080000000002</v>
      </c>
      <c r="C477">
        <v>124.35</v>
      </c>
      <c r="D477">
        <v>1.6320000000000001E-2</v>
      </c>
      <c r="E477">
        <v>2.4199999999999998E-3</v>
      </c>
    </row>
    <row r="478" spans="1:5" ht="14.25" customHeight="1">
      <c r="A478" s="140">
        <v>41242</v>
      </c>
      <c r="B478">
        <v>19170.91</v>
      </c>
      <c r="C478">
        <v>125.75</v>
      </c>
      <c r="D478">
        <v>1.7299999999999999E-2</v>
      </c>
      <c r="E478">
        <v>1.12E-2</v>
      </c>
    </row>
    <row r="479" spans="1:5" ht="14.25" customHeight="1">
      <c r="A479" s="140">
        <v>41243</v>
      </c>
      <c r="B479">
        <v>19339.900000000001</v>
      </c>
      <c r="C479">
        <v>127.8</v>
      </c>
      <c r="D479">
        <v>8.7799999999999996E-3</v>
      </c>
      <c r="E479">
        <v>1.617E-2</v>
      </c>
    </row>
    <row r="480" spans="1:5" ht="14.25" customHeight="1">
      <c r="A480" s="140">
        <v>41246</v>
      </c>
      <c r="B480">
        <v>19305.32</v>
      </c>
      <c r="C480">
        <v>129</v>
      </c>
      <c r="D480">
        <v>-1.7899999999999999E-3</v>
      </c>
      <c r="E480">
        <v>9.3500000000000007E-3</v>
      </c>
    </row>
    <row r="481" spans="1:5" ht="14.25" customHeight="1">
      <c r="A481" s="140">
        <v>41247</v>
      </c>
      <c r="B481">
        <v>19348.12</v>
      </c>
      <c r="C481">
        <v>129.35</v>
      </c>
      <c r="D481">
        <v>2.2100000000000002E-3</v>
      </c>
      <c r="E481">
        <v>2.7100000000000002E-3</v>
      </c>
    </row>
    <row r="482" spans="1:5" ht="14.25" customHeight="1">
      <c r="A482" s="140">
        <v>41248</v>
      </c>
      <c r="B482">
        <v>19391.86</v>
      </c>
      <c r="C482">
        <v>129.9</v>
      </c>
      <c r="D482">
        <v>2.2599999999999999E-3</v>
      </c>
      <c r="E482">
        <v>4.2399999999999998E-3</v>
      </c>
    </row>
    <row r="483" spans="1:5" ht="14.25" customHeight="1">
      <c r="A483" s="140">
        <v>41249</v>
      </c>
      <c r="B483">
        <v>19486.8</v>
      </c>
      <c r="C483">
        <v>129.85</v>
      </c>
      <c r="D483">
        <v>4.8799999999999998E-3</v>
      </c>
      <c r="E483">
        <v>-3.8000000000000002E-4</v>
      </c>
    </row>
    <row r="484" spans="1:5" ht="14.25" customHeight="1">
      <c r="A484" s="140">
        <v>41250</v>
      </c>
      <c r="B484">
        <v>19424.099999999999</v>
      </c>
      <c r="C484">
        <v>130</v>
      </c>
      <c r="D484">
        <v>-3.2200000000000002E-3</v>
      </c>
      <c r="E484">
        <v>1.15E-3</v>
      </c>
    </row>
    <row r="485" spans="1:5" ht="14.25" customHeight="1">
      <c r="A485" s="140">
        <v>41253</v>
      </c>
      <c r="B485">
        <v>19409.689999999999</v>
      </c>
      <c r="C485">
        <v>130.80000000000001</v>
      </c>
      <c r="D485">
        <v>-7.3999999999999999E-4</v>
      </c>
      <c r="E485">
        <v>6.13E-3</v>
      </c>
    </row>
    <row r="486" spans="1:5" ht="14.25" customHeight="1">
      <c r="A486" s="140">
        <v>41254</v>
      </c>
      <c r="B486">
        <v>19387.14</v>
      </c>
      <c r="C486">
        <v>131.15</v>
      </c>
      <c r="D486">
        <v>-1.16E-3</v>
      </c>
      <c r="E486">
        <v>2.6700000000000001E-3</v>
      </c>
    </row>
    <row r="487" spans="1:5" ht="14.25" customHeight="1">
      <c r="A487" s="140">
        <v>41255</v>
      </c>
      <c r="B487">
        <v>19355.259999999998</v>
      </c>
      <c r="C487">
        <v>129.65</v>
      </c>
      <c r="D487">
        <v>-1.65E-3</v>
      </c>
      <c r="E487">
        <v>-1.15E-2</v>
      </c>
    </row>
    <row r="488" spans="1:5" ht="14.25" customHeight="1">
      <c r="A488" s="140">
        <v>41256</v>
      </c>
      <c r="B488">
        <v>19229.259999999998</v>
      </c>
      <c r="C488">
        <v>130.15</v>
      </c>
      <c r="D488">
        <v>-6.5300000000000002E-3</v>
      </c>
      <c r="E488">
        <v>3.8500000000000001E-3</v>
      </c>
    </row>
    <row r="489" spans="1:5" ht="14.25" customHeight="1">
      <c r="A489" s="140">
        <v>41257</v>
      </c>
      <c r="B489">
        <v>19317.25</v>
      </c>
      <c r="C489">
        <v>129.94999999999999</v>
      </c>
      <c r="D489">
        <v>4.5700000000000003E-3</v>
      </c>
      <c r="E489">
        <v>-1.5399999999999999E-3</v>
      </c>
    </row>
    <row r="490" spans="1:5" ht="14.25" customHeight="1">
      <c r="A490" s="140">
        <v>41260</v>
      </c>
      <c r="B490">
        <v>19244.419999999998</v>
      </c>
      <c r="C490">
        <v>129.05000000000001</v>
      </c>
      <c r="D490">
        <v>-3.7799999999999999E-3</v>
      </c>
      <c r="E490">
        <v>-6.9499999999999996E-3</v>
      </c>
    </row>
    <row r="491" spans="1:5" ht="14.25" customHeight="1">
      <c r="A491" s="140">
        <v>41261</v>
      </c>
      <c r="B491">
        <v>19364.75</v>
      </c>
      <c r="C491">
        <v>129.9</v>
      </c>
      <c r="D491">
        <v>6.2300000000000003E-3</v>
      </c>
      <c r="E491">
        <v>6.5599999999999999E-3</v>
      </c>
    </row>
    <row r="492" spans="1:5" ht="14.25" customHeight="1">
      <c r="A492" s="140">
        <v>41262</v>
      </c>
      <c r="B492">
        <v>19476</v>
      </c>
      <c r="C492">
        <v>128.55000000000001</v>
      </c>
      <c r="D492">
        <v>5.7299999999999999E-3</v>
      </c>
      <c r="E492">
        <v>-1.0449999999999999E-2</v>
      </c>
    </row>
    <row r="493" spans="1:5" ht="14.25" customHeight="1">
      <c r="A493" s="140">
        <v>41263</v>
      </c>
      <c r="B493">
        <v>19453.919999999998</v>
      </c>
      <c r="C493">
        <v>128.94999999999999</v>
      </c>
      <c r="D493">
        <v>-1.1299999999999999E-3</v>
      </c>
      <c r="E493">
        <v>3.1099999999999999E-3</v>
      </c>
    </row>
    <row r="494" spans="1:5" ht="14.25" customHeight="1">
      <c r="A494" s="140">
        <v>41264</v>
      </c>
      <c r="B494">
        <v>19242</v>
      </c>
      <c r="C494">
        <v>128.05000000000001</v>
      </c>
      <c r="D494">
        <v>-1.095E-2</v>
      </c>
      <c r="E494">
        <v>-7.0000000000000001E-3</v>
      </c>
    </row>
    <row r="495" spans="1:5" ht="14.25" customHeight="1">
      <c r="A495" s="140">
        <v>41267</v>
      </c>
      <c r="B495">
        <v>19255.09</v>
      </c>
      <c r="C495">
        <v>128.94999999999999</v>
      </c>
      <c r="D495">
        <v>6.8000000000000005E-4</v>
      </c>
      <c r="E495">
        <v>7.0000000000000001E-3</v>
      </c>
    </row>
    <row r="496" spans="1:5" ht="14.25" customHeight="1">
      <c r="A496" s="140">
        <v>41269</v>
      </c>
      <c r="B496">
        <v>19417.46</v>
      </c>
      <c r="C496">
        <v>129.6</v>
      </c>
      <c r="D496">
        <v>8.3999999999999995E-3</v>
      </c>
      <c r="E496">
        <v>5.0299999999999997E-3</v>
      </c>
    </row>
    <row r="497" spans="1:5" ht="14.25" customHeight="1">
      <c r="A497" s="140">
        <v>41270</v>
      </c>
      <c r="B497">
        <v>19323.8</v>
      </c>
      <c r="C497">
        <v>127.75</v>
      </c>
      <c r="D497">
        <v>-4.8399999999999997E-3</v>
      </c>
      <c r="E497">
        <v>-1.438E-2</v>
      </c>
    </row>
    <row r="498" spans="1:5" ht="14.25" customHeight="1">
      <c r="A498" s="140">
        <v>41271</v>
      </c>
      <c r="B498">
        <v>19444.84</v>
      </c>
      <c r="C498">
        <v>129.1</v>
      </c>
      <c r="D498">
        <v>6.2399999999999999E-3</v>
      </c>
      <c r="E498">
        <v>1.051E-2</v>
      </c>
    </row>
    <row r="499" spans="1:5" ht="14.25" customHeight="1">
      <c r="A499" s="140">
        <v>41274</v>
      </c>
      <c r="B499">
        <v>19426.71</v>
      </c>
      <c r="C499">
        <v>128.75</v>
      </c>
      <c r="D499">
        <v>-9.3000000000000005E-4</v>
      </c>
      <c r="E499">
        <v>-2.7100000000000002E-3</v>
      </c>
    </row>
    <row r="500" spans="1:5" ht="14.25" customHeight="1">
      <c r="A500" s="140">
        <v>41275</v>
      </c>
      <c r="B500">
        <v>19580.810000000001</v>
      </c>
      <c r="C500">
        <v>129.4</v>
      </c>
      <c r="D500">
        <v>7.9000000000000008E-3</v>
      </c>
      <c r="E500">
        <v>5.0400000000000002E-3</v>
      </c>
    </row>
    <row r="501" spans="1:5" ht="14.25" customHeight="1">
      <c r="A501" s="140">
        <v>41276</v>
      </c>
      <c r="B501">
        <v>19714.240000000002</v>
      </c>
      <c r="C501">
        <v>129.69999999999999</v>
      </c>
      <c r="D501">
        <v>6.79E-3</v>
      </c>
      <c r="E501">
        <v>2.32E-3</v>
      </c>
    </row>
    <row r="502" spans="1:5" ht="14.25" customHeight="1">
      <c r="A502" s="140">
        <v>41277</v>
      </c>
      <c r="B502">
        <v>19764.78</v>
      </c>
      <c r="C502">
        <v>128.65</v>
      </c>
      <c r="D502">
        <v>2.5600000000000002E-3</v>
      </c>
      <c r="E502">
        <v>-8.1300000000000001E-3</v>
      </c>
    </row>
    <row r="503" spans="1:5" ht="14.25" customHeight="1">
      <c r="A503" s="140">
        <v>41278</v>
      </c>
      <c r="B503">
        <v>19784.080000000002</v>
      </c>
      <c r="C503">
        <v>127.95</v>
      </c>
      <c r="D503">
        <v>9.7999999999999997E-4</v>
      </c>
      <c r="E503">
        <v>-5.4599999999999996E-3</v>
      </c>
    </row>
    <row r="504" spans="1:5" ht="14.25" customHeight="1">
      <c r="A504" s="140">
        <v>41281</v>
      </c>
      <c r="B504">
        <v>19691.419999999998</v>
      </c>
      <c r="C504">
        <v>127.95</v>
      </c>
      <c r="D504">
        <v>-4.6899999999999997E-3</v>
      </c>
      <c r="E504">
        <v>0</v>
      </c>
    </row>
    <row r="505" spans="1:5" ht="14.25" customHeight="1">
      <c r="A505" s="140">
        <v>41282</v>
      </c>
      <c r="B505">
        <v>19742.52</v>
      </c>
      <c r="C505">
        <v>128.80000000000001</v>
      </c>
      <c r="D505">
        <v>2.5899999999999999E-3</v>
      </c>
      <c r="E505">
        <v>6.62E-3</v>
      </c>
    </row>
    <row r="506" spans="1:5" ht="14.25" customHeight="1">
      <c r="A506" s="140">
        <v>41283</v>
      </c>
      <c r="B506">
        <v>19666.59</v>
      </c>
      <c r="C506">
        <v>128.30000000000001</v>
      </c>
      <c r="D506">
        <v>-3.8500000000000001E-3</v>
      </c>
      <c r="E506">
        <v>-3.8899999999999998E-3</v>
      </c>
    </row>
    <row r="507" spans="1:5" ht="14.25" customHeight="1">
      <c r="A507" s="140">
        <v>41284</v>
      </c>
      <c r="B507">
        <v>19663.55</v>
      </c>
      <c r="C507">
        <v>128.19999999999999</v>
      </c>
      <c r="D507">
        <v>-1.4999999999999999E-4</v>
      </c>
      <c r="E507">
        <v>-7.7999999999999999E-4</v>
      </c>
    </row>
    <row r="508" spans="1:5" ht="14.25" customHeight="1">
      <c r="A508" s="140">
        <v>41285</v>
      </c>
      <c r="B508">
        <v>19663.64</v>
      </c>
      <c r="C508">
        <v>126</v>
      </c>
      <c r="D508">
        <v>0</v>
      </c>
      <c r="E508">
        <v>-1.7309999999999999E-2</v>
      </c>
    </row>
    <row r="509" spans="1:5" ht="14.25" customHeight="1">
      <c r="A509" s="140">
        <v>41288</v>
      </c>
      <c r="B509">
        <v>19906.41</v>
      </c>
      <c r="C509">
        <v>128.35</v>
      </c>
      <c r="D509">
        <v>1.227E-2</v>
      </c>
      <c r="E509">
        <v>1.848E-2</v>
      </c>
    </row>
    <row r="510" spans="1:5" ht="14.25" customHeight="1">
      <c r="A510" s="140">
        <v>41289</v>
      </c>
      <c r="B510">
        <v>19986.82</v>
      </c>
      <c r="C510">
        <v>128.25</v>
      </c>
      <c r="D510">
        <v>4.0299999999999997E-3</v>
      </c>
      <c r="E510">
        <v>-7.7999999999999999E-4</v>
      </c>
    </row>
    <row r="511" spans="1:5" ht="14.25" customHeight="1">
      <c r="A511" s="140">
        <v>41290</v>
      </c>
      <c r="B511">
        <v>19817.63</v>
      </c>
      <c r="C511">
        <v>128.65</v>
      </c>
      <c r="D511">
        <v>-8.5000000000000006E-3</v>
      </c>
      <c r="E511">
        <v>3.1099999999999999E-3</v>
      </c>
    </row>
    <row r="512" spans="1:5" ht="14.25" customHeight="1">
      <c r="A512" s="140">
        <v>41291</v>
      </c>
      <c r="B512">
        <v>19964.03</v>
      </c>
      <c r="C512">
        <v>129.1</v>
      </c>
      <c r="D512">
        <v>7.3600000000000002E-3</v>
      </c>
      <c r="E512">
        <v>3.49E-3</v>
      </c>
    </row>
    <row r="513" spans="1:5" ht="14.25" customHeight="1">
      <c r="A513" s="140">
        <v>41292</v>
      </c>
      <c r="B513">
        <v>20039.04</v>
      </c>
      <c r="C513">
        <v>128.85</v>
      </c>
      <c r="D513">
        <v>3.7499999999999999E-3</v>
      </c>
      <c r="E513">
        <v>-1.9400000000000001E-3</v>
      </c>
    </row>
    <row r="514" spans="1:5" ht="14.25" customHeight="1">
      <c r="A514" s="140">
        <v>41295</v>
      </c>
      <c r="B514">
        <v>20101.82</v>
      </c>
      <c r="C514">
        <v>128</v>
      </c>
      <c r="D514">
        <v>3.13E-3</v>
      </c>
      <c r="E514">
        <v>-6.62E-3</v>
      </c>
    </row>
    <row r="515" spans="1:5" ht="14.25" customHeight="1">
      <c r="A515" s="140">
        <v>41296</v>
      </c>
      <c r="B515">
        <v>19981.57</v>
      </c>
      <c r="C515">
        <v>129.65</v>
      </c>
      <c r="D515">
        <v>-6.0000000000000001E-3</v>
      </c>
      <c r="E515">
        <v>1.281E-2</v>
      </c>
    </row>
    <row r="516" spans="1:5" ht="14.25" customHeight="1">
      <c r="A516" s="140">
        <v>41297</v>
      </c>
      <c r="B516">
        <v>20026.61</v>
      </c>
      <c r="C516">
        <v>128.30000000000001</v>
      </c>
      <c r="D516">
        <v>2.2499999999999998E-3</v>
      </c>
      <c r="E516">
        <v>-1.047E-2</v>
      </c>
    </row>
    <row r="517" spans="1:5" ht="14.25" customHeight="1">
      <c r="A517" s="140">
        <v>41298</v>
      </c>
      <c r="B517">
        <v>19923.78</v>
      </c>
      <c r="C517">
        <v>127.5</v>
      </c>
      <c r="D517">
        <v>-5.1500000000000001E-3</v>
      </c>
      <c r="E517">
        <v>-6.2500000000000003E-3</v>
      </c>
    </row>
    <row r="518" spans="1:5" ht="14.25" customHeight="1">
      <c r="A518" s="140">
        <v>41299</v>
      </c>
      <c r="B518">
        <v>20103.53</v>
      </c>
      <c r="C518">
        <v>128.65</v>
      </c>
      <c r="D518">
        <v>8.9800000000000001E-3</v>
      </c>
      <c r="E518">
        <v>8.9800000000000001E-3</v>
      </c>
    </row>
    <row r="519" spans="1:5" ht="14.25" customHeight="1">
      <c r="A519" s="140">
        <v>41302</v>
      </c>
      <c r="B519">
        <v>20103.349999999999</v>
      </c>
      <c r="C519">
        <v>131.05000000000001</v>
      </c>
      <c r="D519">
        <v>-1.0000000000000001E-5</v>
      </c>
      <c r="E519">
        <v>1.848E-2</v>
      </c>
    </row>
    <row r="520" spans="1:5" ht="14.25" customHeight="1">
      <c r="A520" s="140">
        <v>41303</v>
      </c>
      <c r="B520">
        <v>19990.900000000001</v>
      </c>
      <c r="C520">
        <v>129.69999999999999</v>
      </c>
      <c r="D520">
        <v>-5.6100000000000004E-3</v>
      </c>
      <c r="E520">
        <v>-1.035E-2</v>
      </c>
    </row>
    <row r="521" spans="1:5" ht="14.25" customHeight="1">
      <c r="A521" s="140">
        <v>41304</v>
      </c>
      <c r="B521">
        <v>20005</v>
      </c>
      <c r="C521">
        <v>129.80000000000001</v>
      </c>
      <c r="D521">
        <v>7.1000000000000002E-4</v>
      </c>
      <c r="E521">
        <v>7.6999999999999996E-4</v>
      </c>
    </row>
    <row r="522" spans="1:5" ht="14.25" customHeight="1">
      <c r="A522" s="140">
        <v>41305</v>
      </c>
      <c r="B522">
        <v>19894.98</v>
      </c>
      <c r="C522">
        <v>131.75</v>
      </c>
      <c r="D522">
        <v>-5.5100000000000001E-3</v>
      </c>
      <c r="E522">
        <v>1.491E-2</v>
      </c>
    </row>
    <row r="523" spans="1:5" ht="14.25" customHeight="1">
      <c r="A523" s="140">
        <v>41306</v>
      </c>
      <c r="B523">
        <v>19781.189999999999</v>
      </c>
      <c r="C523">
        <v>133.19999999999999</v>
      </c>
      <c r="D523">
        <v>-5.7400000000000003E-3</v>
      </c>
      <c r="E523">
        <v>1.095E-2</v>
      </c>
    </row>
    <row r="524" spans="1:5" ht="14.25" customHeight="1">
      <c r="A524" s="140">
        <v>41309</v>
      </c>
      <c r="B524">
        <v>19751.189999999999</v>
      </c>
      <c r="C524">
        <v>133.44999999999999</v>
      </c>
      <c r="D524">
        <v>-1.5200000000000001E-3</v>
      </c>
      <c r="E524">
        <v>1.8799999999999999E-3</v>
      </c>
    </row>
    <row r="525" spans="1:5" ht="14.25" customHeight="1">
      <c r="A525" s="140">
        <v>41310</v>
      </c>
      <c r="B525">
        <v>19659.82</v>
      </c>
      <c r="C525">
        <v>133.05000000000001</v>
      </c>
      <c r="D525">
        <v>-4.64E-3</v>
      </c>
      <c r="E525">
        <v>-3.0000000000000001E-3</v>
      </c>
    </row>
    <row r="526" spans="1:5" ht="14.25" customHeight="1">
      <c r="A526" s="140">
        <v>41311</v>
      </c>
      <c r="B526">
        <v>19639.72</v>
      </c>
      <c r="C526">
        <v>133</v>
      </c>
      <c r="D526">
        <v>-1.0200000000000001E-3</v>
      </c>
      <c r="E526">
        <v>-3.8000000000000002E-4</v>
      </c>
    </row>
    <row r="527" spans="1:5" ht="14.25" customHeight="1">
      <c r="A527" s="140">
        <v>41312</v>
      </c>
      <c r="B527">
        <v>19580.32</v>
      </c>
      <c r="C527">
        <v>132</v>
      </c>
      <c r="D527">
        <v>-3.0300000000000001E-3</v>
      </c>
      <c r="E527">
        <v>-7.5500000000000003E-3</v>
      </c>
    </row>
    <row r="528" spans="1:5" ht="14.25" customHeight="1">
      <c r="A528" s="140">
        <v>41313</v>
      </c>
      <c r="B528">
        <v>19484.77</v>
      </c>
      <c r="C528">
        <v>131.25</v>
      </c>
      <c r="D528">
        <v>-4.8900000000000002E-3</v>
      </c>
      <c r="E528">
        <v>-5.7000000000000002E-3</v>
      </c>
    </row>
    <row r="529" spans="1:5" ht="14.25" customHeight="1">
      <c r="A529" s="140">
        <v>41316</v>
      </c>
      <c r="B529">
        <v>19460.57</v>
      </c>
      <c r="C529">
        <v>130.75</v>
      </c>
      <c r="D529">
        <v>-1.24E-3</v>
      </c>
      <c r="E529">
        <v>-3.82E-3</v>
      </c>
    </row>
    <row r="530" spans="1:5" ht="14.25" customHeight="1">
      <c r="A530" s="140">
        <v>41317</v>
      </c>
      <c r="B530">
        <v>19561.04</v>
      </c>
      <c r="C530">
        <v>133.75</v>
      </c>
      <c r="D530">
        <v>5.1500000000000001E-3</v>
      </c>
      <c r="E530">
        <v>2.2689999999999998E-2</v>
      </c>
    </row>
    <row r="531" spans="1:5" ht="14.25" customHeight="1">
      <c r="A531" s="140">
        <v>41318</v>
      </c>
      <c r="B531">
        <v>19608.080000000002</v>
      </c>
      <c r="C531">
        <v>133.85</v>
      </c>
      <c r="D531">
        <v>2.3999999999999998E-3</v>
      </c>
      <c r="E531">
        <v>7.5000000000000002E-4</v>
      </c>
    </row>
    <row r="532" spans="1:5" ht="14.25" customHeight="1">
      <c r="A532" s="140">
        <v>41319</v>
      </c>
      <c r="B532">
        <v>19497.18</v>
      </c>
      <c r="C532">
        <v>133.4</v>
      </c>
      <c r="D532">
        <v>-5.6699999999999997E-3</v>
      </c>
      <c r="E532">
        <v>-3.3700000000000002E-3</v>
      </c>
    </row>
    <row r="533" spans="1:5" ht="14.25" customHeight="1">
      <c r="A533" s="140">
        <v>41320</v>
      </c>
      <c r="B533">
        <v>19468.150000000001</v>
      </c>
      <c r="C533">
        <v>132.94999999999999</v>
      </c>
      <c r="D533">
        <v>-1.49E-3</v>
      </c>
      <c r="E533">
        <v>-3.3800000000000002E-3</v>
      </c>
    </row>
    <row r="534" spans="1:5" ht="14.25" customHeight="1">
      <c r="A534" s="140">
        <v>41323</v>
      </c>
      <c r="B534">
        <v>19501.080000000002</v>
      </c>
      <c r="C534">
        <v>131.69999999999999</v>
      </c>
      <c r="D534">
        <v>1.6900000000000001E-3</v>
      </c>
      <c r="E534">
        <v>-9.4500000000000001E-3</v>
      </c>
    </row>
    <row r="535" spans="1:5" ht="14.25" customHeight="1">
      <c r="A535" s="140">
        <v>41324</v>
      </c>
      <c r="B535">
        <v>19635.72</v>
      </c>
      <c r="C535">
        <v>132</v>
      </c>
      <c r="D535">
        <v>6.8799999999999998E-3</v>
      </c>
      <c r="E535">
        <v>2.2799999999999999E-3</v>
      </c>
    </row>
    <row r="536" spans="1:5" ht="14.25" customHeight="1">
      <c r="A536" s="140">
        <v>41325</v>
      </c>
      <c r="B536">
        <v>19642.75</v>
      </c>
      <c r="C536">
        <v>131.9</v>
      </c>
      <c r="D536">
        <v>3.6000000000000002E-4</v>
      </c>
      <c r="E536">
        <v>-7.6000000000000004E-4</v>
      </c>
    </row>
    <row r="537" spans="1:5" ht="14.25" customHeight="1">
      <c r="A537" s="140">
        <v>41326</v>
      </c>
      <c r="B537">
        <v>19325.36</v>
      </c>
      <c r="C537">
        <v>130.85</v>
      </c>
      <c r="D537">
        <v>-1.6289999999999999E-2</v>
      </c>
      <c r="E537">
        <v>-7.9900000000000006E-3</v>
      </c>
    </row>
    <row r="538" spans="1:5" ht="14.25" customHeight="1">
      <c r="A538" s="140">
        <v>41327</v>
      </c>
      <c r="B538">
        <v>19317.009999999998</v>
      </c>
      <c r="C538">
        <v>131.69999999999999</v>
      </c>
      <c r="D538">
        <v>-4.2999999999999999E-4</v>
      </c>
      <c r="E538">
        <v>6.4700000000000001E-3</v>
      </c>
    </row>
    <row r="539" spans="1:5" ht="14.25" customHeight="1">
      <c r="A539" s="140">
        <v>41330</v>
      </c>
      <c r="B539">
        <v>19331.689999999999</v>
      </c>
      <c r="C539">
        <v>128.55000000000001</v>
      </c>
      <c r="D539">
        <v>7.6000000000000004E-4</v>
      </c>
      <c r="E539">
        <v>-2.4209999999999999E-2</v>
      </c>
    </row>
    <row r="540" spans="1:5" ht="14.25" customHeight="1">
      <c r="A540" s="140">
        <v>41331</v>
      </c>
      <c r="B540">
        <v>19015.14</v>
      </c>
      <c r="C540">
        <v>128.44999999999999</v>
      </c>
      <c r="D540">
        <v>-1.651E-2</v>
      </c>
      <c r="E540">
        <v>-7.7999999999999999E-4</v>
      </c>
    </row>
    <row r="541" spans="1:5" ht="14.25" customHeight="1">
      <c r="A541" s="140">
        <v>41332</v>
      </c>
      <c r="B541">
        <v>19152.41</v>
      </c>
      <c r="C541">
        <v>129.05000000000001</v>
      </c>
      <c r="D541">
        <v>7.1900000000000002E-3</v>
      </c>
      <c r="E541">
        <v>4.6600000000000001E-3</v>
      </c>
    </row>
    <row r="542" spans="1:5" ht="14.25" customHeight="1">
      <c r="A542" s="140">
        <v>41333</v>
      </c>
      <c r="B542">
        <v>18861.54</v>
      </c>
      <c r="C542">
        <v>126.45</v>
      </c>
      <c r="D542">
        <v>-1.5299999999999999E-2</v>
      </c>
      <c r="E542">
        <v>-2.035E-2</v>
      </c>
    </row>
    <row r="543" spans="1:5" ht="14.25" customHeight="1">
      <c r="A543" s="140">
        <v>41334</v>
      </c>
      <c r="B543">
        <v>18918.52</v>
      </c>
      <c r="C543">
        <v>129.55000000000001</v>
      </c>
      <c r="D543">
        <v>3.0200000000000001E-3</v>
      </c>
      <c r="E543">
        <v>2.4219999999999998E-2</v>
      </c>
    </row>
    <row r="544" spans="1:5" ht="14.25" customHeight="1">
      <c r="A544" s="140">
        <v>41337</v>
      </c>
      <c r="B544">
        <v>18877.96</v>
      </c>
      <c r="C544">
        <v>128.85</v>
      </c>
      <c r="D544">
        <v>-2.15E-3</v>
      </c>
      <c r="E544">
        <v>-5.4200000000000003E-3</v>
      </c>
    </row>
    <row r="545" spans="1:5" ht="14.25" customHeight="1">
      <c r="A545" s="140">
        <v>41338</v>
      </c>
      <c r="B545">
        <v>19143.169999999998</v>
      </c>
      <c r="C545">
        <v>133.69999999999999</v>
      </c>
      <c r="D545">
        <v>1.3950000000000001E-2</v>
      </c>
      <c r="E545">
        <v>3.6949999999999997E-2</v>
      </c>
    </row>
    <row r="546" spans="1:5" ht="14.25" customHeight="1">
      <c r="A546" s="140">
        <v>41339</v>
      </c>
      <c r="B546">
        <v>19252.61</v>
      </c>
      <c r="C546">
        <v>132.75</v>
      </c>
      <c r="D546">
        <v>5.7000000000000002E-3</v>
      </c>
      <c r="E546">
        <v>-7.1300000000000001E-3</v>
      </c>
    </row>
    <row r="547" spans="1:5" ht="14.25" customHeight="1">
      <c r="A547" s="140">
        <v>41340</v>
      </c>
      <c r="B547">
        <v>19413.54</v>
      </c>
      <c r="C547">
        <v>132.80000000000001</v>
      </c>
      <c r="D547">
        <v>8.3199999999999993E-3</v>
      </c>
      <c r="E547">
        <v>3.8000000000000002E-4</v>
      </c>
    </row>
    <row r="548" spans="1:5" ht="14.25" customHeight="1">
      <c r="A548" s="140">
        <v>41341</v>
      </c>
      <c r="B548">
        <v>19683.23</v>
      </c>
      <c r="C548">
        <v>134.94999999999999</v>
      </c>
      <c r="D548">
        <v>1.38E-2</v>
      </c>
      <c r="E548">
        <v>1.6060000000000001E-2</v>
      </c>
    </row>
    <row r="549" spans="1:5" ht="14.25" customHeight="1">
      <c r="A549" s="140">
        <v>41344</v>
      </c>
      <c r="B549">
        <v>19646.21</v>
      </c>
      <c r="C549">
        <v>133.69999999999999</v>
      </c>
      <c r="D549">
        <v>-1.8799999999999999E-3</v>
      </c>
      <c r="E549">
        <v>-9.3100000000000006E-3</v>
      </c>
    </row>
    <row r="550" spans="1:5" ht="14.25" customHeight="1">
      <c r="A550" s="140">
        <v>41345</v>
      </c>
      <c r="B550">
        <v>19564.919999999998</v>
      </c>
      <c r="C550">
        <v>133.19999999999999</v>
      </c>
      <c r="D550">
        <v>-4.15E-3</v>
      </c>
      <c r="E550">
        <v>-3.7499999999999999E-3</v>
      </c>
    </row>
    <row r="551" spans="1:5" ht="14.25" customHeight="1">
      <c r="A551" s="140">
        <v>41346</v>
      </c>
      <c r="B551">
        <v>19362.55</v>
      </c>
      <c r="C551">
        <v>134.05000000000001</v>
      </c>
      <c r="D551">
        <v>-1.04E-2</v>
      </c>
      <c r="E551">
        <v>6.3600000000000002E-3</v>
      </c>
    </row>
    <row r="552" spans="1:5" ht="14.25" customHeight="1">
      <c r="A552" s="140">
        <v>41347</v>
      </c>
      <c r="B552">
        <v>19570.439999999999</v>
      </c>
      <c r="C552">
        <v>133.30000000000001</v>
      </c>
      <c r="D552">
        <v>1.068E-2</v>
      </c>
      <c r="E552">
        <v>-5.6100000000000004E-3</v>
      </c>
    </row>
    <row r="553" spans="1:5" ht="14.25" customHeight="1">
      <c r="A553" s="140">
        <v>41348</v>
      </c>
      <c r="B553">
        <v>19427.560000000001</v>
      </c>
      <c r="C553">
        <v>137.15</v>
      </c>
      <c r="D553">
        <v>-7.3299999999999997E-3</v>
      </c>
      <c r="E553">
        <v>2.8469999999999999E-2</v>
      </c>
    </row>
    <row r="554" spans="1:5" ht="14.25" customHeight="1">
      <c r="A554" s="140">
        <v>41351</v>
      </c>
      <c r="B554">
        <v>19293.2</v>
      </c>
      <c r="C554">
        <v>137.69999999999999</v>
      </c>
      <c r="D554">
        <v>-6.94E-3</v>
      </c>
      <c r="E554">
        <v>4.0000000000000001E-3</v>
      </c>
    </row>
    <row r="555" spans="1:5" ht="14.25" customHeight="1">
      <c r="A555" s="140">
        <v>41352</v>
      </c>
      <c r="B555">
        <v>19008.099999999999</v>
      </c>
      <c r="C555">
        <v>135.55000000000001</v>
      </c>
      <c r="D555">
        <v>-1.489E-2</v>
      </c>
      <c r="E555">
        <v>-1.5740000000000001E-2</v>
      </c>
    </row>
    <row r="556" spans="1:5" ht="14.25" customHeight="1">
      <c r="A556" s="140">
        <v>41353</v>
      </c>
      <c r="B556">
        <v>18884.189999999999</v>
      </c>
      <c r="C556">
        <v>135.55000000000001</v>
      </c>
      <c r="D556">
        <v>-6.5399999999999998E-3</v>
      </c>
      <c r="E556">
        <v>0</v>
      </c>
    </row>
    <row r="557" spans="1:5" ht="14.25" customHeight="1">
      <c r="A557" s="140">
        <v>41354</v>
      </c>
      <c r="B557">
        <v>18792.87</v>
      </c>
      <c r="C557">
        <v>133.6</v>
      </c>
      <c r="D557">
        <v>-4.8500000000000001E-3</v>
      </c>
      <c r="E557">
        <v>-1.4489999999999999E-2</v>
      </c>
    </row>
    <row r="558" spans="1:5" ht="14.25" customHeight="1">
      <c r="A558" s="140">
        <v>41355</v>
      </c>
      <c r="B558">
        <v>18735.599999999999</v>
      </c>
      <c r="C558">
        <v>133.6</v>
      </c>
      <c r="D558">
        <v>-3.0500000000000002E-3</v>
      </c>
      <c r="E558">
        <v>0</v>
      </c>
    </row>
    <row r="559" spans="1:5" ht="14.25" customHeight="1">
      <c r="A559" s="140">
        <v>41358</v>
      </c>
      <c r="B559">
        <v>18681.419999999998</v>
      </c>
      <c r="C559">
        <v>130.75</v>
      </c>
      <c r="D559">
        <v>-2.8999999999999998E-3</v>
      </c>
      <c r="E559">
        <v>-2.1559999999999999E-2</v>
      </c>
    </row>
    <row r="560" spans="1:5" ht="14.25" customHeight="1">
      <c r="A560" s="140">
        <v>41359</v>
      </c>
      <c r="B560">
        <v>18704.53</v>
      </c>
      <c r="C560">
        <v>134.30000000000001</v>
      </c>
      <c r="D560">
        <v>1.24E-3</v>
      </c>
      <c r="E560">
        <v>2.6790000000000001E-2</v>
      </c>
    </row>
    <row r="561" spans="1:5" ht="14.25" customHeight="1">
      <c r="A561" s="140">
        <v>41361</v>
      </c>
      <c r="B561">
        <v>18835.77</v>
      </c>
      <c r="C561">
        <v>137.05000000000001</v>
      </c>
      <c r="D561">
        <v>6.9899999999999997E-3</v>
      </c>
      <c r="E561">
        <v>2.027E-2</v>
      </c>
    </row>
    <row r="562" spans="1:5" ht="14.25" customHeight="1">
      <c r="A562" s="140">
        <v>41365</v>
      </c>
      <c r="B562">
        <v>18864.75</v>
      </c>
      <c r="C562">
        <v>141.65</v>
      </c>
      <c r="D562">
        <v>1.5399999999999999E-3</v>
      </c>
      <c r="E562">
        <v>3.3009999999999998E-2</v>
      </c>
    </row>
    <row r="563" spans="1:5" ht="14.25" customHeight="1">
      <c r="A563" s="140">
        <v>41366</v>
      </c>
      <c r="B563">
        <v>19040.95</v>
      </c>
      <c r="C563">
        <v>141.30000000000001</v>
      </c>
      <c r="D563">
        <v>9.2999999999999992E-3</v>
      </c>
      <c r="E563">
        <v>-2.47E-3</v>
      </c>
    </row>
    <row r="564" spans="1:5" ht="14.25" customHeight="1">
      <c r="A564" s="140">
        <v>41367</v>
      </c>
      <c r="B564">
        <v>18801.64</v>
      </c>
      <c r="C564">
        <v>143.75</v>
      </c>
      <c r="D564">
        <v>-1.265E-2</v>
      </c>
      <c r="E564">
        <v>1.719E-2</v>
      </c>
    </row>
    <row r="565" spans="1:5" ht="14.25" customHeight="1">
      <c r="A565" s="140">
        <v>41368</v>
      </c>
      <c r="B565">
        <v>18509.7</v>
      </c>
      <c r="C565">
        <v>140.75</v>
      </c>
      <c r="D565">
        <v>-1.5650000000000001E-2</v>
      </c>
      <c r="E565">
        <v>-2.1090000000000001E-2</v>
      </c>
    </row>
    <row r="566" spans="1:5" ht="14.25" customHeight="1">
      <c r="A566" s="140">
        <v>41369</v>
      </c>
      <c r="B566">
        <v>18450.23</v>
      </c>
      <c r="C566">
        <v>143.19999999999999</v>
      </c>
      <c r="D566">
        <v>-3.2200000000000002E-3</v>
      </c>
      <c r="E566">
        <v>1.7260000000000001E-2</v>
      </c>
    </row>
    <row r="567" spans="1:5" ht="14.25" customHeight="1">
      <c r="A567" s="140">
        <v>41372</v>
      </c>
      <c r="B567">
        <v>18437.78</v>
      </c>
      <c r="C567">
        <v>142</v>
      </c>
      <c r="D567">
        <v>-6.8000000000000005E-4</v>
      </c>
      <c r="E567">
        <v>-8.4200000000000004E-3</v>
      </c>
    </row>
    <row r="568" spans="1:5" ht="14.25" customHeight="1">
      <c r="A568" s="140">
        <v>41373</v>
      </c>
      <c r="B568">
        <v>18226.48</v>
      </c>
      <c r="C568">
        <v>138.65</v>
      </c>
      <c r="D568">
        <v>-1.153E-2</v>
      </c>
      <c r="E568">
        <v>-2.3869999999999999E-2</v>
      </c>
    </row>
    <row r="569" spans="1:5" ht="14.25" customHeight="1">
      <c r="A569" s="140">
        <v>41374</v>
      </c>
      <c r="B569">
        <v>18414.45</v>
      </c>
      <c r="C569">
        <v>137.35</v>
      </c>
      <c r="D569">
        <v>1.026E-2</v>
      </c>
      <c r="E569">
        <v>-9.4199999999999996E-3</v>
      </c>
    </row>
    <row r="570" spans="1:5" ht="14.25" customHeight="1">
      <c r="A570" s="140">
        <v>41375</v>
      </c>
      <c r="B570">
        <v>18542.2</v>
      </c>
      <c r="C570">
        <v>137.94999999999999</v>
      </c>
      <c r="D570">
        <v>6.9100000000000003E-3</v>
      </c>
      <c r="E570">
        <v>4.3600000000000002E-3</v>
      </c>
    </row>
    <row r="571" spans="1:5" ht="14.25" customHeight="1">
      <c r="A571" s="140">
        <v>41376</v>
      </c>
      <c r="B571">
        <v>18242.560000000001</v>
      </c>
      <c r="C571">
        <v>138.94999999999999</v>
      </c>
      <c r="D571">
        <v>-1.6289999999999999E-2</v>
      </c>
      <c r="E571">
        <v>7.2199999999999999E-3</v>
      </c>
    </row>
    <row r="572" spans="1:5" ht="14.25" customHeight="1">
      <c r="A572" s="140">
        <v>41379</v>
      </c>
      <c r="B572">
        <v>18357.8</v>
      </c>
      <c r="C572">
        <v>138.15</v>
      </c>
      <c r="D572">
        <v>6.3E-3</v>
      </c>
      <c r="E572">
        <v>-5.77E-3</v>
      </c>
    </row>
    <row r="573" spans="1:5" ht="14.25" customHeight="1">
      <c r="A573" s="140">
        <v>41380</v>
      </c>
      <c r="B573">
        <v>18744.93</v>
      </c>
      <c r="C573">
        <v>139.35</v>
      </c>
      <c r="D573">
        <v>2.087E-2</v>
      </c>
      <c r="E573">
        <v>8.6499999999999997E-3</v>
      </c>
    </row>
    <row r="574" spans="1:5" ht="14.25" customHeight="1">
      <c r="A574" s="140">
        <v>41381</v>
      </c>
      <c r="B574">
        <v>18731.16</v>
      </c>
      <c r="C574">
        <v>139.1</v>
      </c>
      <c r="D574">
        <v>-7.2999999999999996E-4</v>
      </c>
      <c r="E574">
        <v>-1.8E-3</v>
      </c>
    </row>
    <row r="575" spans="1:5" ht="14.25" customHeight="1">
      <c r="A575" s="140">
        <v>41382</v>
      </c>
      <c r="B575">
        <v>19016.46</v>
      </c>
      <c r="C575">
        <v>141.5</v>
      </c>
      <c r="D575">
        <v>1.512E-2</v>
      </c>
      <c r="E575">
        <v>1.711E-2</v>
      </c>
    </row>
    <row r="576" spans="1:5" ht="14.25" customHeight="1">
      <c r="A576" s="140">
        <v>41386</v>
      </c>
      <c r="B576">
        <v>19169.830000000002</v>
      </c>
      <c r="C576">
        <v>144.05000000000001</v>
      </c>
      <c r="D576">
        <v>8.0300000000000007E-3</v>
      </c>
      <c r="E576">
        <v>1.7860000000000001E-2</v>
      </c>
    </row>
    <row r="577" spans="1:5" ht="14.25" customHeight="1">
      <c r="A577" s="140">
        <v>41387</v>
      </c>
      <c r="B577">
        <v>19179.36</v>
      </c>
      <c r="C577">
        <v>142.30000000000001</v>
      </c>
      <c r="D577">
        <v>5.0000000000000001E-4</v>
      </c>
      <c r="E577">
        <v>-1.222E-2</v>
      </c>
    </row>
    <row r="578" spans="1:5" ht="14.25" customHeight="1">
      <c r="A578" s="140">
        <v>41389</v>
      </c>
      <c r="B578">
        <v>19406.849999999999</v>
      </c>
      <c r="C578">
        <v>145.6</v>
      </c>
      <c r="D578">
        <v>1.179E-2</v>
      </c>
      <c r="E578">
        <v>2.2929999999999999E-2</v>
      </c>
    </row>
    <row r="579" spans="1:5" ht="14.25" customHeight="1">
      <c r="A579" s="140">
        <v>41390</v>
      </c>
      <c r="B579">
        <v>19286.72</v>
      </c>
      <c r="C579">
        <v>146.05000000000001</v>
      </c>
      <c r="D579">
        <v>-6.2100000000000002E-3</v>
      </c>
      <c r="E579">
        <v>3.0899999999999999E-3</v>
      </c>
    </row>
    <row r="580" spans="1:5" ht="14.25" customHeight="1">
      <c r="A580" s="140">
        <v>41393</v>
      </c>
      <c r="B580">
        <v>19387.5</v>
      </c>
      <c r="C580">
        <v>146.94999999999999</v>
      </c>
      <c r="D580">
        <v>5.2100000000000002E-3</v>
      </c>
      <c r="E580">
        <v>6.1399999999999996E-3</v>
      </c>
    </row>
    <row r="581" spans="1:5" ht="14.25" customHeight="1">
      <c r="A581" s="140">
        <v>41394</v>
      </c>
      <c r="B581">
        <v>19504.18</v>
      </c>
      <c r="C581">
        <v>147.85</v>
      </c>
      <c r="D581">
        <v>6.0000000000000001E-3</v>
      </c>
      <c r="E581">
        <v>6.11E-3</v>
      </c>
    </row>
    <row r="582" spans="1:5" ht="14.25" customHeight="1">
      <c r="A582" s="140">
        <v>41396</v>
      </c>
      <c r="B582">
        <v>19735.77</v>
      </c>
      <c r="C582">
        <v>150.6</v>
      </c>
      <c r="D582">
        <v>1.18E-2</v>
      </c>
      <c r="E582">
        <v>1.8429999999999998E-2</v>
      </c>
    </row>
    <row r="583" spans="1:5" ht="14.25" customHeight="1">
      <c r="A583" s="140">
        <v>41397</v>
      </c>
      <c r="B583">
        <v>19575.64</v>
      </c>
      <c r="C583">
        <v>160.44999999999999</v>
      </c>
      <c r="D583">
        <v>-8.1499999999999993E-3</v>
      </c>
      <c r="E583">
        <v>6.336E-2</v>
      </c>
    </row>
    <row r="584" spans="1:5" ht="14.25" customHeight="1">
      <c r="A584" s="140">
        <v>41400</v>
      </c>
      <c r="B584">
        <v>19673.64</v>
      </c>
      <c r="C584">
        <v>157.75</v>
      </c>
      <c r="D584">
        <v>4.9899999999999996E-3</v>
      </c>
      <c r="E584">
        <v>-1.6969999999999999E-2</v>
      </c>
    </row>
    <row r="585" spans="1:5" ht="14.25" customHeight="1">
      <c r="A585" s="140">
        <v>41401</v>
      </c>
      <c r="B585">
        <v>19888.95</v>
      </c>
      <c r="C585">
        <v>161.69999999999999</v>
      </c>
      <c r="D585">
        <v>1.0880000000000001E-2</v>
      </c>
      <c r="E585">
        <v>2.4729999999999999E-2</v>
      </c>
    </row>
    <row r="586" spans="1:5" ht="14.25" customHeight="1">
      <c r="A586" s="140">
        <v>41402</v>
      </c>
      <c r="B586">
        <v>19990.18</v>
      </c>
      <c r="C586">
        <v>161.55000000000001</v>
      </c>
      <c r="D586">
        <v>5.0800000000000003E-3</v>
      </c>
      <c r="E586">
        <v>-9.3000000000000005E-4</v>
      </c>
    </row>
    <row r="587" spans="1:5" ht="14.25" customHeight="1">
      <c r="A587" s="140">
        <v>41403</v>
      </c>
      <c r="B587">
        <v>19939.04</v>
      </c>
      <c r="C587">
        <v>158.15</v>
      </c>
      <c r="D587">
        <v>-2.5600000000000002E-3</v>
      </c>
      <c r="E587">
        <v>-2.1270000000000001E-2</v>
      </c>
    </row>
    <row r="588" spans="1:5" ht="14.25" customHeight="1">
      <c r="A588" s="140">
        <v>41404</v>
      </c>
      <c r="B588">
        <v>20082.62</v>
      </c>
      <c r="C588">
        <v>160.5</v>
      </c>
      <c r="D588">
        <v>7.1799999999999998E-3</v>
      </c>
      <c r="E588">
        <v>1.4749999999999999E-2</v>
      </c>
    </row>
    <row r="589" spans="1:5" ht="14.25" customHeight="1">
      <c r="A589" s="140">
        <v>41405</v>
      </c>
      <c r="B589">
        <v>20122.32</v>
      </c>
      <c r="C589">
        <v>162.35</v>
      </c>
      <c r="D589">
        <v>1.97E-3</v>
      </c>
      <c r="E589">
        <v>1.146E-2</v>
      </c>
    </row>
    <row r="590" spans="1:5" ht="14.25" customHeight="1">
      <c r="A590" s="140">
        <v>41407</v>
      </c>
      <c r="B590">
        <v>19691.669999999998</v>
      </c>
      <c r="C590">
        <v>163.80000000000001</v>
      </c>
      <c r="D590">
        <v>-2.163E-2</v>
      </c>
      <c r="E590">
        <v>8.8900000000000003E-3</v>
      </c>
    </row>
    <row r="591" spans="1:5" ht="14.25" customHeight="1">
      <c r="A591" s="140">
        <v>41408</v>
      </c>
      <c r="B591">
        <v>19722.29</v>
      </c>
      <c r="C591">
        <v>161.69999999999999</v>
      </c>
      <c r="D591">
        <v>1.5499999999999999E-3</v>
      </c>
      <c r="E591">
        <v>-1.29E-2</v>
      </c>
    </row>
    <row r="592" spans="1:5" ht="14.25" customHeight="1">
      <c r="A592" s="140">
        <v>41409</v>
      </c>
      <c r="B592">
        <v>20212.96</v>
      </c>
      <c r="C592">
        <v>161.05000000000001</v>
      </c>
      <c r="D592">
        <v>2.4570000000000002E-2</v>
      </c>
      <c r="E592">
        <v>-4.0299999999999997E-3</v>
      </c>
    </row>
    <row r="593" spans="1:5" ht="14.25" customHeight="1">
      <c r="A593" s="140">
        <v>41410</v>
      </c>
      <c r="B593">
        <v>20247.330000000002</v>
      </c>
      <c r="C593">
        <v>158.9</v>
      </c>
      <c r="D593">
        <v>1.6999999999999999E-3</v>
      </c>
      <c r="E593">
        <v>-1.3440000000000001E-2</v>
      </c>
    </row>
    <row r="594" spans="1:5" ht="14.25" customHeight="1">
      <c r="A594" s="140">
        <v>41411</v>
      </c>
      <c r="B594">
        <v>20286.12</v>
      </c>
      <c r="C594">
        <v>157.30000000000001</v>
      </c>
      <c r="D594">
        <v>1.91E-3</v>
      </c>
      <c r="E594">
        <v>-1.0120000000000001E-2</v>
      </c>
    </row>
    <row r="595" spans="1:5" ht="14.25" customHeight="1">
      <c r="A595" s="140">
        <v>41414</v>
      </c>
      <c r="B595">
        <v>20223.98</v>
      </c>
      <c r="C595">
        <v>155.80000000000001</v>
      </c>
      <c r="D595">
        <v>-3.0699999999999998E-3</v>
      </c>
      <c r="E595">
        <v>-9.58E-3</v>
      </c>
    </row>
    <row r="596" spans="1:5" ht="14.25" customHeight="1">
      <c r="A596" s="140">
        <v>41415</v>
      </c>
      <c r="B596">
        <v>20111.61</v>
      </c>
      <c r="C596">
        <v>154.80000000000001</v>
      </c>
      <c r="D596">
        <v>-5.5700000000000003E-3</v>
      </c>
      <c r="E596">
        <v>-6.4400000000000004E-3</v>
      </c>
    </row>
    <row r="597" spans="1:5" ht="14.25" customHeight="1">
      <c r="A597" s="140">
        <v>41416</v>
      </c>
      <c r="B597">
        <v>20062.240000000002</v>
      </c>
      <c r="C597">
        <v>157.19999999999999</v>
      </c>
      <c r="D597">
        <v>-2.4599999999999999E-3</v>
      </c>
      <c r="E597">
        <v>1.538E-2</v>
      </c>
    </row>
    <row r="598" spans="1:5" ht="14.25" customHeight="1">
      <c r="A598" s="140">
        <v>41417</v>
      </c>
      <c r="B598">
        <v>19674.330000000002</v>
      </c>
      <c r="C598">
        <v>155.30000000000001</v>
      </c>
      <c r="D598">
        <v>-1.9519999999999999E-2</v>
      </c>
      <c r="E598">
        <v>-1.2160000000000001E-2</v>
      </c>
    </row>
    <row r="599" spans="1:5" ht="14.25" customHeight="1">
      <c r="A599" s="140">
        <v>41418</v>
      </c>
      <c r="B599">
        <v>19704.330000000002</v>
      </c>
      <c r="C599">
        <v>158.25</v>
      </c>
      <c r="D599">
        <v>1.5200000000000001E-3</v>
      </c>
      <c r="E599">
        <v>1.882E-2</v>
      </c>
    </row>
    <row r="600" spans="1:5" ht="14.25" customHeight="1">
      <c r="A600" s="140">
        <v>41421</v>
      </c>
      <c r="B600">
        <v>20030.77</v>
      </c>
      <c r="C600">
        <v>158.15</v>
      </c>
      <c r="D600">
        <v>1.643E-2</v>
      </c>
      <c r="E600">
        <v>-6.3000000000000003E-4</v>
      </c>
    </row>
    <row r="601" spans="1:5" ht="14.25" customHeight="1">
      <c r="A601" s="140">
        <v>41422</v>
      </c>
      <c r="B601">
        <v>20160.82</v>
      </c>
      <c r="C601">
        <v>156.30000000000001</v>
      </c>
      <c r="D601">
        <v>6.4700000000000001E-3</v>
      </c>
      <c r="E601">
        <v>-1.1769999999999999E-2</v>
      </c>
    </row>
    <row r="602" spans="1:5" ht="14.25" customHeight="1">
      <c r="A602" s="140">
        <v>41423</v>
      </c>
      <c r="B602">
        <v>20147.64</v>
      </c>
      <c r="C602">
        <v>157</v>
      </c>
      <c r="D602">
        <v>-6.4999999999999997E-4</v>
      </c>
      <c r="E602">
        <v>4.47E-3</v>
      </c>
    </row>
    <row r="603" spans="1:5" ht="14.25" customHeight="1">
      <c r="A603" s="140">
        <v>41424</v>
      </c>
      <c r="B603">
        <v>20215.400000000001</v>
      </c>
      <c r="C603">
        <v>157.05000000000001</v>
      </c>
      <c r="D603">
        <v>3.3600000000000001E-3</v>
      </c>
      <c r="E603">
        <v>3.2000000000000003E-4</v>
      </c>
    </row>
    <row r="604" spans="1:5" ht="14.25" customHeight="1">
      <c r="A604" s="140">
        <v>41425</v>
      </c>
      <c r="B604">
        <v>19760.3</v>
      </c>
      <c r="C604">
        <v>156.55000000000001</v>
      </c>
      <c r="D604">
        <v>-2.2769999999999999E-2</v>
      </c>
      <c r="E604">
        <v>-3.1900000000000001E-3</v>
      </c>
    </row>
    <row r="605" spans="1:5" ht="14.25" customHeight="1">
      <c r="A605" s="140">
        <v>41428</v>
      </c>
      <c r="B605">
        <v>19610.48</v>
      </c>
      <c r="C605">
        <v>158</v>
      </c>
      <c r="D605">
        <v>-7.6099999999999996E-3</v>
      </c>
      <c r="E605">
        <v>9.2200000000000008E-3</v>
      </c>
    </row>
    <row r="606" spans="1:5" ht="14.25" customHeight="1">
      <c r="A606" s="140">
        <v>41429</v>
      </c>
      <c r="B606">
        <v>19545.78</v>
      </c>
      <c r="C606">
        <v>158.94999999999999</v>
      </c>
      <c r="D606">
        <v>-3.3E-3</v>
      </c>
      <c r="E606">
        <v>5.9899999999999997E-3</v>
      </c>
    </row>
    <row r="607" spans="1:5" ht="14.25" customHeight="1">
      <c r="A607" s="140">
        <v>41430</v>
      </c>
      <c r="B607">
        <v>19568.22</v>
      </c>
      <c r="C607">
        <v>157.94999999999999</v>
      </c>
      <c r="D607">
        <v>1.15E-3</v>
      </c>
      <c r="E607">
        <v>-6.3099999999999996E-3</v>
      </c>
    </row>
    <row r="608" spans="1:5" ht="14.25" customHeight="1">
      <c r="A608" s="140">
        <v>41431</v>
      </c>
      <c r="B608">
        <v>19519.490000000002</v>
      </c>
      <c r="C608">
        <v>157.80000000000001</v>
      </c>
      <c r="D608">
        <v>-2.49E-3</v>
      </c>
      <c r="E608">
        <v>-9.5E-4</v>
      </c>
    </row>
    <row r="609" spans="1:5" ht="14.25" customHeight="1">
      <c r="A609" s="140">
        <v>41432</v>
      </c>
      <c r="B609">
        <v>19429.23</v>
      </c>
      <c r="C609">
        <v>157.1</v>
      </c>
      <c r="D609">
        <v>-4.6299999999999996E-3</v>
      </c>
      <c r="E609">
        <v>-4.45E-3</v>
      </c>
    </row>
    <row r="610" spans="1:5" ht="14.25" customHeight="1">
      <c r="A610" s="140">
        <v>41435</v>
      </c>
      <c r="B610">
        <v>19441.07</v>
      </c>
      <c r="C610">
        <v>151.35</v>
      </c>
      <c r="D610">
        <v>6.0999999999999997E-4</v>
      </c>
      <c r="E610">
        <v>-3.7289999999999997E-2</v>
      </c>
    </row>
    <row r="611" spans="1:5" ht="14.25" customHeight="1">
      <c r="A611" s="140">
        <v>41436</v>
      </c>
      <c r="B611">
        <v>19143</v>
      </c>
      <c r="C611">
        <v>152.15</v>
      </c>
      <c r="D611">
        <v>-1.545E-2</v>
      </c>
      <c r="E611">
        <v>5.2700000000000004E-3</v>
      </c>
    </row>
    <row r="612" spans="1:5" ht="14.25" customHeight="1">
      <c r="A612" s="140">
        <v>41437</v>
      </c>
      <c r="B612">
        <v>19041.13</v>
      </c>
      <c r="C612">
        <v>153.69999999999999</v>
      </c>
      <c r="D612">
        <v>-5.3400000000000001E-3</v>
      </c>
      <c r="E612">
        <v>1.014E-2</v>
      </c>
    </row>
    <row r="613" spans="1:5" ht="14.25" customHeight="1">
      <c r="A613" s="140">
        <v>41438</v>
      </c>
      <c r="B613">
        <v>18827.16</v>
      </c>
      <c r="C613">
        <v>150.44999999999999</v>
      </c>
      <c r="D613">
        <v>-1.1299999999999999E-2</v>
      </c>
      <c r="E613">
        <v>-2.137E-2</v>
      </c>
    </row>
    <row r="614" spans="1:5" ht="14.25" customHeight="1">
      <c r="A614" s="140">
        <v>41439</v>
      </c>
      <c r="B614">
        <v>19177.93</v>
      </c>
      <c r="C614">
        <v>152.44999999999999</v>
      </c>
      <c r="D614">
        <v>1.8460000000000001E-2</v>
      </c>
      <c r="E614">
        <v>1.321E-2</v>
      </c>
    </row>
    <row r="615" spans="1:5" ht="14.25" customHeight="1">
      <c r="A615" s="140">
        <v>41442</v>
      </c>
      <c r="B615">
        <v>19325.87</v>
      </c>
      <c r="C615">
        <v>155.25</v>
      </c>
      <c r="D615">
        <v>7.6800000000000002E-3</v>
      </c>
      <c r="E615">
        <v>1.8200000000000001E-2</v>
      </c>
    </row>
    <row r="616" spans="1:5" ht="14.25" customHeight="1">
      <c r="A616" s="140">
        <v>41443</v>
      </c>
      <c r="B616">
        <v>19223.28</v>
      </c>
      <c r="C616">
        <v>155.30000000000001</v>
      </c>
      <c r="D616">
        <v>-5.3200000000000001E-3</v>
      </c>
      <c r="E616">
        <v>3.2000000000000003E-4</v>
      </c>
    </row>
    <row r="617" spans="1:5" ht="14.25" customHeight="1">
      <c r="A617" s="140">
        <v>41444</v>
      </c>
      <c r="B617">
        <v>19245.7</v>
      </c>
      <c r="C617">
        <v>156.25</v>
      </c>
      <c r="D617">
        <v>1.17E-3</v>
      </c>
      <c r="E617">
        <v>6.1000000000000004E-3</v>
      </c>
    </row>
    <row r="618" spans="1:5" ht="14.25" customHeight="1">
      <c r="A618" s="140">
        <v>41445</v>
      </c>
      <c r="B618">
        <v>18719.29</v>
      </c>
      <c r="C618">
        <v>151.5</v>
      </c>
      <c r="D618">
        <v>-2.7730000000000001E-2</v>
      </c>
      <c r="E618">
        <v>-3.0870000000000002E-2</v>
      </c>
    </row>
    <row r="619" spans="1:5" ht="14.25" customHeight="1">
      <c r="A619" s="140">
        <v>41446</v>
      </c>
      <c r="B619">
        <v>18774.240000000002</v>
      </c>
      <c r="C619">
        <v>154.19999999999999</v>
      </c>
      <c r="D619">
        <v>2.9299999999999999E-3</v>
      </c>
      <c r="E619">
        <v>1.7659999999999999E-2</v>
      </c>
    </row>
    <row r="620" spans="1:5" ht="14.25" customHeight="1">
      <c r="A620" s="140">
        <v>41449</v>
      </c>
      <c r="B620">
        <v>18540.89</v>
      </c>
      <c r="C620">
        <v>154.5</v>
      </c>
      <c r="D620">
        <v>-1.251E-2</v>
      </c>
      <c r="E620">
        <v>1.9400000000000001E-3</v>
      </c>
    </row>
    <row r="621" spans="1:5" ht="14.25" customHeight="1">
      <c r="A621" s="140">
        <v>41450</v>
      </c>
      <c r="B621">
        <v>18629.150000000001</v>
      </c>
      <c r="C621">
        <v>152.55000000000001</v>
      </c>
      <c r="D621">
        <v>4.7499999999999999E-3</v>
      </c>
      <c r="E621">
        <v>-1.2699999999999999E-2</v>
      </c>
    </row>
    <row r="622" spans="1:5" ht="14.25" customHeight="1">
      <c r="A622" s="140">
        <v>41451</v>
      </c>
      <c r="B622">
        <v>18552.12</v>
      </c>
      <c r="C622">
        <v>152.19999999999999</v>
      </c>
      <c r="D622">
        <v>-4.1399999999999996E-3</v>
      </c>
      <c r="E622">
        <v>-2.3E-3</v>
      </c>
    </row>
    <row r="623" spans="1:5" ht="14.25" customHeight="1">
      <c r="A623" s="140">
        <v>41452</v>
      </c>
      <c r="B623">
        <v>18875.95</v>
      </c>
      <c r="C623">
        <v>153.55000000000001</v>
      </c>
      <c r="D623">
        <v>1.7299999999999999E-2</v>
      </c>
      <c r="E623">
        <v>8.8299999999999993E-3</v>
      </c>
    </row>
    <row r="624" spans="1:5" ht="14.25" customHeight="1">
      <c r="A624" s="140">
        <v>41453</v>
      </c>
      <c r="B624">
        <v>19395.810000000001</v>
      </c>
      <c r="C624">
        <v>155.69999999999999</v>
      </c>
      <c r="D624">
        <v>2.717E-2</v>
      </c>
      <c r="E624">
        <v>1.3899999999999999E-2</v>
      </c>
    </row>
    <row r="625" spans="1:5" ht="14.25" customHeight="1">
      <c r="A625" s="140">
        <v>41456</v>
      </c>
      <c r="B625">
        <v>19577.39</v>
      </c>
      <c r="C625">
        <v>155.80000000000001</v>
      </c>
      <c r="D625">
        <v>9.3200000000000002E-3</v>
      </c>
      <c r="E625">
        <v>6.4000000000000005E-4</v>
      </c>
    </row>
    <row r="626" spans="1:5" ht="14.25" customHeight="1">
      <c r="A626" s="140">
        <v>41457</v>
      </c>
      <c r="B626">
        <v>19463.82</v>
      </c>
      <c r="C626">
        <v>155.85</v>
      </c>
      <c r="D626">
        <v>-5.8199999999999997E-3</v>
      </c>
      <c r="E626">
        <v>3.2000000000000003E-4</v>
      </c>
    </row>
    <row r="627" spans="1:5" ht="14.25" customHeight="1">
      <c r="A627" s="140">
        <v>41458</v>
      </c>
      <c r="B627">
        <v>19177.759999999998</v>
      </c>
      <c r="C627">
        <v>156.35</v>
      </c>
      <c r="D627">
        <v>-1.481E-2</v>
      </c>
      <c r="E627">
        <v>3.2000000000000002E-3</v>
      </c>
    </row>
    <row r="628" spans="1:5" ht="14.25" customHeight="1">
      <c r="A628" s="140">
        <v>41459</v>
      </c>
      <c r="B628">
        <v>19410.84</v>
      </c>
      <c r="C628">
        <v>158.69999999999999</v>
      </c>
      <c r="D628">
        <v>1.208E-2</v>
      </c>
      <c r="E628">
        <v>1.4919999999999999E-2</v>
      </c>
    </row>
    <row r="629" spans="1:5" ht="14.25" customHeight="1">
      <c r="A629" s="140">
        <v>41460</v>
      </c>
      <c r="B629">
        <v>19495.82</v>
      </c>
      <c r="C629">
        <v>157.1</v>
      </c>
      <c r="D629">
        <v>4.3699999999999998E-3</v>
      </c>
      <c r="E629">
        <v>-1.013E-2</v>
      </c>
    </row>
    <row r="630" spans="1:5" ht="14.25" customHeight="1">
      <c r="A630" s="140">
        <v>41463</v>
      </c>
      <c r="B630">
        <v>19324.77</v>
      </c>
      <c r="C630">
        <v>157.80000000000001</v>
      </c>
      <c r="D630">
        <v>-8.8100000000000001E-3</v>
      </c>
      <c r="E630">
        <v>4.45E-3</v>
      </c>
    </row>
    <row r="631" spans="1:5" ht="14.25" customHeight="1">
      <c r="A631" s="140">
        <v>41464</v>
      </c>
      <c r="B631">
        <v>19439.48</v>
      </c>
      <c r="C631">
        <v>156.80000000000001</v>
      </c>
      <c r="D631">
        <v>5.9199999999999999E-3</v>
      </c>
      <c r="E631">
        <v>-6.3600000000000002E-3</v>
      </c>
    </row>
    <row r="632" spans="1:5" ht="14.25" customHeight="1">
      <c r="A632" s="140">
        <v>41465</v>
      </c>
      <c r="B632">
        <v>19294.12</v>
      </c>
      <c r="C632">
        <v>154.5</v>
      </c>
      <c r="D632">
        <v>-7.5100000000000002E-3</v>
      </c>
      <c r="E632">
        <v>-1.478E-2</v>
      </c>
    </row>
    <row r="633" spans="1:5" ht="14.25" customHeight="1">
      <c r="A633" s="140">
        <v>41466</v>
      </c>
      <c r="B633">
        <v>19676.060000000001</v>
      </c>
      <c r="C633">
        <v>155</v>
      </c>
      <c r="D633">
        <v>1.9599999999999999E-2</v>
      </c>
      <c r="E633">
        <v>3.2299999999999998E-3</v>
      </c>
    </row>
    <row r="634" spans="1:5" ht="14.25" customHeight="1">
      <c r="A634" s="140">
        <v>41467</v>
      </c>
      <c r="B634">
        <v>19958.47</v>
      </c>
      <c r="C634">
        <v>158.19999999999999</v>
      </c>
      <c r="D634">
        <v>1.4250000000000001E-2</v>
      </c>
      <c r="E634">
        <v>2.043E-2</v>
      </c>
    </row>
    <row r="635" spans="1:5" ht="14.25" customHeight="1">
      <c r="A635" s="140">
        <v>41470</v>
      </c>
      <c r="B635">
        <v>20034.48</v>
      </c>
      <c r="C635">
        <v>156.80000000000001</v>
      </c>
      <c r="D635">
        <v>3.8E-3</v>
      </c>
      <c r="E635">
        <v>-8.8900000000000003E-3</v>
      </c>
    </row>
    <row r="636" spans="1:5" ht="14.25" customHeight="1">
      <c r="A636" s="140">
        <v>41471</v>
      </c>
      <c r="B636">
        <v>19851.23</v>
      </c>
      <c r="C636">
        <v>158.94999999999999</v>
      </c>
      <c r="D636">
        <v>-9.1900000000000003E-3</v>
      </c>
      <c r="E636">
        <v>1.362E-2</v>
      </c>
    </row>
    <row r="637" spans="1:5" ht="14.25" customHeight="1">
      <c r="A637" s="140">
        <v>41472</v>
      </c>
      <c r="B637">
        <v>19948.73</v>
      </c>
      <c r="C637">
        <v>165.8</v>
      </c>
      <c r="D637">
        <v>4.8999999999999998E-3</v>
      </c>
      <c r="E637">
        <v>4.2189999999999998E-2</v>
      </c>
    </row>
    <row r="638" spans="1:5" ht="14.25" customHeight="1">
      <c r="A638" s="140">
        <v>41473</v>
      </c>
      <c r="B638">
        <v>20128.41</v>
      </c>
      <c r="C638">
        <v>171.1</v>
      </c>
      <c r="D638">
        <v>8.9700000000000005E-3</v>
      </c>
      <c r="E638">
        <v>3.1469999999999998E-2</v>
      </c>
    </row>
    <row r="639" spans="1:5" ht="14.25" customHeight="1">
      <c r="A639" s="140">
        <v>41474</v>
      </c>
      <c r="B639">
        <v>20149.849999999999</v>
      </c>
      <c r="C639">
        <v>167.9</v>
      </c>
      <c r="D639">
        <v>1.06E-3</v>
      </c>
      <c r="E639">
        <v>-1.8880000000000001E-2</v>
      </c>
    </row>
    <row r="640" spans="1:5" ht="14.25" customHeight="1">
      <c r="A640" s="140">
        <v>41477</v>
      </c>
      <c r="B640">
        <v>20159.12</v>
      </c>
      <c r="C640">
        <v>170.95</v>
      </c>
      <c r="D640">
        <v>4.6000000000000001E-4</v>
      </c>
      <c r="E640">
        <v>1.7999999999999999E-2</v>
      </c>
    </row>
    <row r="641" spans="1:5" ht="14.25" customHeight="1">
      <c r="A641" s="140">
        <v>41478</v>
      </c>
      <c r="B641">
        <v>20302.13</v>
      </c>
      <c r="C641">
        <v>170.85</v>
      </c>
      <c r="D641">
        <v>7.0699999999999999E-3</v>
      </c>
      <c r="E641">
        <v>-5.9000000000000003E-4</v>
      </c>
    </row>
    <row r="642" spans="1:5" ht="14.25" customHeight="1">
      <c r="A642" s="140">
        <v>41479</v>
      </c>
      <c r="B642">
        <v>20090.68</v>
      </c>
      <c r="C642">
        <v>174.95</v>
      </c>
      <c r="D642">
        <v>-1.047E-2</v>
      </c>
      <c r="E642">
        <v>2.3709999999999998E-2</v>
      </c>
    </row>
    <row r="643" spans="1:5" ht="14.25" customHeight="1">
      <c r="A643" s="140">
        <v>41480</v>
      </c>
      <c r="B643">
        <v>19804.759999999998</v>
      </c>
      <c r="C643">
        <v>170.9</v>
      </c>
      <c r="D643">
        <v>-1.4330000000000001E-2</v>
      </c>
      <c r="E643">
        <v>-2.342E-2</v>
      </c>
    </row>
    <row r="644" spans="1:5" ht="14.25" customHeight="1">
      <c r="A644" s="140">
        <v>41481</v>
      </c>
      <c r="B644">
        <v>19748.189999999999</v>
      </c>
      <c r="C644">
        <v>171</v>
      </c>
      <c r="D644">
        <v>-2.8600000000000001E-3</v>
      </c>
      <c r="E644">
        <v>5.8E-4</v>
      </c>
    </row>
    <row r="645" spans="1:5" ht="14.25" customHeight="1">
      <c r="A645" s="140">
        <v>41484</v>
      </c>
      <c r="B645">
        <v>19593.28</v>
      </c>
      <c r="C645">
        <v>169.25</v>
      </c>
      <c r="D645">
        <v>-7.8799999999999999E-3</v>
      </c>
      <c r="E645">
        <v>-1.0290000000000001E-2</v>
      </c>
    </row>
    <row r="646" spans="1:5" ht="14.25" customHeight="1">
      <c r="A646" s="140">
        <v>41485</v>
      </c>
      <c r="B646">
        <v>19348.34</v>
      </c>
      <c r="C646">
        <v>165.05</v>
      </c>
      <c r="D646">
        <v>-1.2579999999999999E-2</v>
      </c>
      <c r="E646">
        <v>-2.513E-2</v>
      </c>
    </row>
    <row r="647" spans="1:5" ht="14.25" customHeight="1">
      <c r="A647" s="140">
        <v>41486</v>
      </c>
      <c r="B647">
        <v>19345.7</v>
      </c>
      <c r="C647">
        <v>161.69999999999999</v>
      </c>
      <c r="D647">
        <v>-1.3999999999999999E-4</v>
      </c>
      <c r="E647">
        <v>-2.051E-2</v>
      </c>
    </row>
    <row r="648" spans="1:5" ht="14.25" customHeight="1">
      <c r="A648" s="140">
        <v>41487</v>
      </c>
      <c r="B648">
        <v>19317.189999999999</v>
      </c>
      <c r="C648">
        <v>159.55000000000001</v>
      </c>
      <c r="D648">
        <v>-1.47E-3</v>
      </c>
      <c r="E648">
        <v>-1.3390000000000001E-2</v>
      </c>
    </row>
    <row r="649" spans="1:5" ht="14.25" customHeight="1">
      <c r="A649" s="140">
        <v>41488</v>
      </c>
      <c r="B649">
        <v>19164.02</v>
      </c>
      <c r="C649">
        <v>159.69999999999999</v>
      </c>
      <c r="D649">
        <v>-7.9600000000000001E-3</v>
      </c>
      <c r="E649">
        <v>9.3999999999999997E-4</v>
      </c>
    </row>
    <row r="650" spans="1:5" ht="14.25" customHeight="1">
      <c r="A650" s="140">
        <v>41491</v>
      </c>
      <c r="B650">
        <v>19182.259999999998</v>
      </c>
      <c r="C650">
        <v>163.80000000000001</v>
      </c>
      <c r="D650">
        <v>9.5E-4</v>
      </c>
      <c r="E650">
        <v>2.5350000000000001E-2</v>
      </c>
    </row>
    <row r="651" spans="1:5" ht="14.25" customHeight="1">
      <c r="A651" s="140">
        <v>41492</v>
      </c>
      <c r="B651">
        <v>18733.04</v>
      </c>
      <c r="C651">
        <v>160</v>
      </c>
      <c r="D651">
        <v>-2.3699999999999999E-2</v>
      </c>
      <c r="E651">
        <v>-2.3470000000000001E-2</v>
      </c>
    </row>
    <row r="652" spans="1:5" ht="14.25" customHeight="1">
      <c r="A652" s="140">
        <v>41493</v>
      </c>
      <c r="B652">
        <v>18664.88</v>
      </c>
      <c r="C652">
        <v>157.6</v>
      </c>
      <c r="D652">
        <v>-3.65E-3</v>
      </c>
      <c r="E652">
        <v>-1.511E-2</v>
      </c>
    </row>
    <row r="653" spans="1:5" ht="14.25" customHeight="1">
      <c r="A653" s="140">
        <v>41494</v>
      </c>
      <c r="B653">
        <v>18789.34</v>
      </c>
      <c r="C653">
        <v>161.25</v>
      </c>
      <c r="D653">
        <v>6.6499999999999997E-3</v>
      </c>
      <c r="E653">
        <v>2.29E-2</v>
      </c>
    </row>
    <row r="654" spans="1:5" ht="14.25" customHeight="1">
      <c r="A654" s="140">
        <v>41498</v>
      </c>
      <c r="B654">
        <v>18946.98</v>
      </c>
      <c r="C654">
        <v>166.5</v>
      </c>
      <c r="D654">
        <v>8.3499999999999998E-3</v>
      </c>
      <c r="E654">
        <v>3.2039999999999999E-2</v>
      </c>
    </row>
    <row r="655" spans="1:5" ht="14.25" customHeight="1">
      <c r="A655" s="140">
        <v>41499</v>
      </c>
      <c r="B655">
        <v>19229.84</v>
      </c>
      <c r="C655">
        <v>172.35</v>
      </c>
      <c r="D655">
        <v>1.482E-2</v>
      </c>
      <c r="E655">
        <v>3.4529999999999998E-2</v>
      </c>
    </row>
    <row r="656" spans="1:5" ht="14.25" customHeight="1">
      <c r="A656" s="140">
        <v>41500</v>
      </c>
      <c r="B656">
        <v>19367.59</v>
      </c>
      <c r="C656">
        <v>171.5</v>
      </c>
      <c r="D656">
        <v>7.1399999999999996E-3</v>
      </c>
      <c r="E656">
        <v>-4.9399999999999999E-3</v>
      </c>
    </row>
    <row r="657" spans="1:5" ht="14.25" customHeight="1">
      <c r="A657" s="140">
        <v>41502</v>
      </c>
      <c r="B657">
        <v>18598.18</v>
      </c>
      <c r="C657">
        <v>170.05</v>
      </c>
      <c r="D657">
        <v>-4.054E-2</v>
      </c>
      <c r="E657">
        <v>-8.4899999999999993E-3</v>
      </c>
    </row>
    <row r="658" spans="1:5" ht="14.25" customHeight="1">
      <c r="A658" s="140">
        <v>41505</v>
      </c>
      <c r="B658">
        <v>18307.52</v>
      </c>
      <c r="C658">
        <v>162.44999999999999</v>
      </c>
      <c r="D658">
        <v>-1.575E-2</v>
      </c>
      <c r="E658">
        <v>-4.5719999999999997E-2</v>
      </c>
    </row>
    <row r="659" spans="1:5" ht="14.25" customHeight="1">
      <c r="A659" s="140">
        <v>41506</v>
      </c>
      <c r="B659">
        <v>18246.04</v>
      </c>
      <c r="C659">
        <v>156.94999999999999</v>
      </c>
      <c r="D659">
        <v>-3.3600000000000001E-3</v>
      </c>
      <c r="E659">
        <v>-3.4439999999999998E-2</v>
      </c>
    </row>
    <row r="660" spans="1:5" ht="14.25" customHeight="1">
      <c r="A660" s="140">
        <v>41507</v>
      </c>
      <c r="B660">
        <v>17905.91</v>
      </c>
      <c r="C660">
        <v>149.4</v>
      </c>
      <c r="D660">
        <v>-1.882E-2</v>
      </c>
      <c r="E660">
        <v>-4.9299999999999997E-2</v>
      </c>
    </row>
    <row r="661" spans="1:5" ht="14.25" customHeight="1">
      <c r="A661" s="140">
        <v>41508</v>
      </c>
      <c r="B661">
        <v>18312.939999999999</v>
      </c>
      <c r="C661">
        <v>145.94999999999999</v>
      </c>
      <c r="D661">
        <v>2.248E-2</v>
      </c>
      <c r="E661">
        <v>-2.3359999999999999E-2</v>
      </c>
    </row>
    <row r="662" spans="1:5" ht="14.25" customHeight="1">
      <c r="A662" s="140">
        <v>41509</v>
      </c>
      <c r="B662">
        <v>18519.439999999999</v>
      </c>
      <c r="C662">
        <v>149.6</v>
      </c>
      <c r="D662">
        <v>1.1209999999999999E-2</v>
      </c>
      <c r="E662">
        <v>2.47E-2</v>
      </c>
    </row>
    <row r="663" spans="1:5" ht="14.25" customHeight="1">
      <c r="A663" s="140">
        <v>41512</v>
      </c>
      <c r="B663">
        <v>18558.13</v>
      </c>
      <c r="C663">
        <v>156.69999999999999</v>
      </c>
      <c r="D663">
        <v>2.0899999999999998E-3</v>
      </c>
      <c r="E663">
        <v>4.6370000000000001E-2</v>
      </c>
    </row>
    <row r="664" spans="1:5" ht="14.25" customHeight="1">
      <c r="A664" s="140">
        <v>41513</v>
      </c>
      <c r="B664">
        <v>17968.080000000002</v>
      </c>
      <c r="C664">
        <v>157.05000000000001</v>
      </c>
      <c r="D664">
        <v>-3.2309999999999998E-2</v>
      </c>
      <c r="E664">
        <v>2.2300000000000002E-3</v>
      </c>
    </row>
    <row r="665" spans="1:5" ht="14.25" customHeight="1">
      <c r="A665" s="140">
        <v>41514</v>
      </c>
      <c r="B665">
        <v>17996.150000000001</v>
      </c>
      <c r="C665">
        <v>156.55000000000001</v>
      </c>
      <c r="D665">
        <v>1.56E-3</v>
      </c>
      <c r="E665">
        <v>-3.1900000000000001E-3</v>
      </c>
    </row>
    <row r="666" spans="1:5" ht="14.25" customHeight="1">
      <c r="A666" s="140">
        <v>41515</v>
      </c>
      <c r="B666">
        <v>18401.04</v>
      </c>
      <c r="C666">
        <v>159.85</v>
      </c>
      <c r="D666">
        <v>2.2249999999999999E-2</v>
      </c>
      <c r="E666">
        <v>2.086E-2</v>
      </c>
    </row>
    <row r="667" spans="1:5" ht="14.25" customHeight="1">
      <c r="A667" s="140">
        <v>41516</v>
      </c>
      <c r="B667">
        <v>18619.72</v>
      </c>
      <c r="C667">
        <v>162.75</v>
      </c>
      <c r="D667">
        <v>1.1809999999999999E-2</v>
      </c>
      <c r="E667">
        <v>1.7979999999999999E-2</v>
      </c>
    </row>
    <row r="668" spans="1:5" ht="14.25" customHeight="1">
      <c r="A668" s="140">
        <v>41519</v>
      </c>
      <c r="B668">
        <v>18886.13</v>
      </c>
      <c r="C668">
        <v>167.85</v>
      </c>
      <c r="D668">
        <v>1.421E-2</v>
      </c>
      <c r="E668">
        <v>3.0859999999999999E-2</v>
      </c>
    </row>
    <row r="669" spans="1:5" ht="14.25" customHeight="1">
      <c r="A669" s="140">
        <v>41520</v>
      </c>
      <c r="B669">
        <v>18234.66</v>
      </c>
      <c r="C669">
        <v>163.75</v>
      </c>
      <c r="D669">
        <v>-3.5099999999999999E-2</v>
      </c>
      <c r="E669">
        <v>-2.4729999999999999E-2</v>
      </c>
    </row>
    <row r="670" spans="1:5" ht="14.25" customHeight="1">
      <c r="A670" s="140">
        <v>41521</v>
      </c>
      <c r="B670">
        <v>18567.55</v>
      </c>
      <c r="C670">
        <v>169.9</v>
      </c>
      <c r="D670">
        <v>1.8089999999999998E-2</v>
      </c>
      <c r="E670">
        <v>3.687E-2</v>
      </c>
    </row>
    <row r="671" spans="1:5" ht="14.25" customHeight="1">
      <c r="A671" s="140">
        <v>41522</v>
      </c>
      <c r="B671">
        <v>18979.759999999998</v>
      </c>
      <c r="C671">
        <v>164</v>
      </c>
      <c r="D671">
        <v>2.196E-2</v>
      </c>
      <c r="E671">
        <v>-3.5340000000000003E-2</v>
      </c>
    </row>
    <row r="672" spans="1:5" ht="14.25" customHeight="1">
      <c r="A672" s="140">
        <v>41523</v>
      </c>
      <c r="B672">
        <v>19270.060000000001</v>
      </c>
      <c r="C672">
        <v>163.15</v>
      </c>
      <c r="D672">
        <v>1.5180000000000001E-2</v>
      </c>
      <c r="E672">
        <v>-5.1999999999999998E-3</v>
      </c>
    </row>
    <row r="673" spans="1:5" ht="14.25" customHeight="1">
      <c r="A673" s="140">
        <v>41527</v>
      </c>
      <c r="B673">
        <v>19997.09</v>
      </c>
      <c r="C673">
        <v>170.3</v>
      </c>
      <c r="D673">
        <v>3.703E-2</v>
      </c>
      <c r="E673">
        <v>4.2889999999999998E-2</v>
      </c>
    </row>
    <row r="674" spans="1:5" ht="14.25" customHeight="1">
      <c r="A674" s="140">
        <v>41528</v>
      </c>
      <c r="B674">
        <v>19997.45</v>
      </c>
      <c r="C674">
        <v>170.05</v>
      </c>
      <c r="D674">
        <v>2.0000000000000002E-5</v>
      </c>
      <c r="E674">
        <v>-1.47E-3</v>
      </c>
    </row>
    <row r="675" spans="1:5" ht="14.25" customHeight="1">
      <c r="A675" s="140">
        <v>41529</v>
      </c>
      <c r="B675">
        <v>19781.88</v>
      </c>
      <c r="C675">
        <v>169.3</v>
      </c>
      <c r="D675">
        <v>-1.0840000000000001E-2</v>
      </c>
      <c r="E675">
        <v>-4.4200000000000003E-3</v>
      </c>
    </row>
    <row r="676" spans="1:5" ht="14.25" customHeight="1">
      <c r="A676" s="140">
        <v>41530</v>
      </c>
      <c r="B676">
        <v>19732.759999999998</v>
      </c>
      <c r="C676">
        <v>169.05</v>
      </c>
      <c r="D676">
        <v>-2.49E-3</v>
      </c>
      <c r="E676">
        <v>-1.48E-3</v>
      </c>
    </row>
    <row r="677" spans="1:5" ht="14.25" customHeight="1">
      <c r="A677" s="140">
        <v>41533</v>
      </c>
      <c r="B677">
        <v>19742.47</v>
      </c>
      <c r="C677">
        <v>168.9</v>
      </c>
      <c r="D677">
        <v>4.8999999999999998E-4</v>
      </c>
      <c r="E677">
        <v>-8.8999999999999995E-4</v>
      </c>
    </row>
    <row r="678" spans="1:5" ht="14.25" customHeight="1">
      <c r="A678" s="140">
        <v>41534</v>
      </c>
      <c r="B678">
        <v>19804.03</v>
      </c>
      <c r="C678">
        <v>168.05</v>
      </c>
      <c r="D678">
        <v>3.1099999999999999E-3</v>
      </c>
      <c r="E678">
        <v>-5.0499999999999998E-3</v>
      </c>
    </row>
    <row r="679" spans="1:5" ht="14.25" customHeight="1">
      <c r="A679" s="140">
        <v>41535</v>
      </c>
      <c r="B679">
        <v>19962.16</v>
      </c>
      <c r="C679">
        <v>168.7</v>
      </c>
      <c r="D679">
        <v>7.9500000000000005E-3</v>
      </c>
      <c r="E679">
        <v>3.8600000000000001E-3</v>
      </c>
    </row>
    <row r="680" spans="1:5" ht="14.25" customHeight="1">
      <c r="A680" s="140">
        <v>41536</v>
      </c>
      <c r="B680">
        <v>20646.64</v>
      </c>
      <c r="C680">
        <v>169.6</v>
      </c>
      <c r="D680">
        <v>3.3709999999999997E-2</v>
      </c>
      <c r="E680">
        <v>5.3200000000000001E-3</v>
      </c>
    </row>
    <row r="681" spans="1:5" ht="14.25" customHeight="1">
      <c r="A681" s="140">
        <v>41537</v>
      </c>
      <c r="B681">
        <v>20263.71</v>
      </c>
      <c r="C681">
        <v>168.95</v>
      </c>
      <c r="D681">
        <v>-1.8720000000000001E-2</v>
      </c>
      <c r="E681">
        <v>-3.8400000000000001E-3</v>
      </c>
    </row>
    <row r="682" spans="1:5" ht="14.25" customHeight="1">
      <c r="A682" s="140">
        <v>41540</v>
      </c>
      <c r="B682">
        <v>19900.96</v>
      </c>
      <c r="C682">
        <v>167.15</v>
      </c>
      <c r="D682">
        <v>-1.806E-2</v>
      </c>
      <c r="E682">
        <v>-1.0710000000000001E-2</v>
      </c>
    </row>
    <row r="683" spans="1:5" ht="14.25" customHeight="1">
      <c r="A683" s="140">
        <v>41541</v>
      </c>
      <c r="B683">
        <v>19920.21</v>
      </c>
      <c r="C683">
        <v>168.6</v>
      </c>
      <c r="D683">
        <v>9.7000000000000005E-4</v>
      </c>
      <c r="E683">
        <v>8.6400000000000001E-3</v>
      </c>
    </row>
    <row r="684" spans="1:5" ht="14.25" customHeight="1">
      <c r="A684" s="140">
        <v>41542</v>
      </c>
      <c r="B684">
        <v>19856.240000000002</v>
      </c>
      <c r="C684">
        <v>167.25</v>
      </c>
      <c r="D684">
        <v>-3.2200000000000002E-3</v>
      </c>
      <c r="E684">
        <v>-8.0400000000000003E-3</v>
      </c>
    </row>
    <row r="685" spans="1:5" ht="14.25" customHeight="1">
      <c r="A685" s="140">
        <v>41543</v>
      </c>
      <c r="B685">
        <v>19893.849999999999</v>
      </c>
      <c r="C685">
        <v>167.2</v>
      </c>
      <c r="D685">
        <v>1.89E-3</v>
      </c>
      <c r="E685">
        <v>-2.9999999999999997E-4</v>
      </c>
    </row>
    <row r="686" spans="1:5" ht="14.25" customHeight="1">
      <c r="A686" s="140">
        <v>41544</v>
      </c>
      <c r="B686">
        <v>19727.27</v>
      </c>
      <c r="C686">
        <v>170</v>
      </c>
      <c r="D686">
        <v>-8.4100000000000008E-3</v>
      </c>
      <c r="E686">
        <v>1.661E-2</v>
      </c>
    </row>
    <row r="687" spans="1:5" ht="14.25" customHeight="1">
      <c r="A687" s="140">
        <v>41547</v>
      </c>
      <c r="B687">
        <v>19379.77</v>
      </c>
      <c r="C687">
        <v>169.8</v>
      </c>
      <c r="D687">
        <v>-1.7770000000000001E-2</v>
      </c>
      <c r="E687">
        <v>-1.1800000000000001E-3</v>
      </c>
    </row>
    <row r="688" spans="1:5" ht="14.25" customHeight="1">
      <c r="A688" s="140">
        <v>41548</v>
      </c>
      <c r="B688">
        <v>19517.150000000001</v>
      </c>
      <c r="C688">
        <v>168.5</v>
      </c>
      <c r="D688">
        <v>7.0600000000000003E-3</v>
      </c>
      <c r="E688">
        <v>-7.6899999999999998E-3</v>
      </c>
    </row>
    <row r="689" spans="1:5" ht="14.25" customHeight="1">
      <c r="A689" s="140">
        <v>41550</v>
      </c>
      <c r="B689">
        <v>19902.07</v>
      </c>
      <c r="C689">
        <v>169.45</v>
      </c>
      <c r="D689">
        <v>1.9529999999999999E-2</v>
      </c>
      <c r="E689">
        <v>5.62E-3</v>
      </c>
    </row>
    <row r="690" spans="1:5" ht="14.25" customHeight="1">
      <c r="A690" s="140">
        <v>41551</v>
      </c>
      <c r="B690">
        <v>19915.95</v>
      </c>
      <c r="C690">
        <v>170.85</v>
      </c>
      <c r="D690">
        <v>6.9999999999999999E-4</v>
      </c>
      <c r="E690">
        <v>8.2299999999999995E-3</v>
      </c>
    </row>
    <row r="691" spans="1:5" ht="14.25" customHeight="1">
      <c r="A691" s="140">
        <v>41554</v>
      </c>
      <c r="B691">
        <v>19895.099999999999</v>
      </c>
      <c r="C691">
        <v>170.4</v>
      </c>
      <c r="D691">
        <v>-1.0499999999999999E-3</v>
      </c>
      <c r="E691">
        <v>-2.64E-3</v>
      </c>
    </row>
    <row r="692" spans="1:5" ht="14.25" customHeight="1">
      <c r="A692" s="140">
        <v>41555</v>
      </c>
      <c r="B692">
        <v>19983.61</v>
      </c>
      <c r="C692">
        <v>171.35</v>
      </c>
      <c r="D692">
        <v>4.4400000000000004E-3</v>
      </c>
      <c r="E692">
        <v>5.5599999999999998E-3</v>
      </c>
    </row>
    <row r="693" spans="1:5" ht="14.25" customHeight="1">
      <c r="A693" s="140">
        <v>41556</v>
      </c>
      <c r="B693">
        <v>20249.259999999998</v>
      </c>
      <c r="C693">
        <v>170.35</v>
      </c>
      <c r="D693">
        <v>1.321E-2</v>
      </c>
      <c r="E693">
        <v>-5.8500000000000002E-3</v>
      </c>
    </row>
    <row r="694" spans="1:5" ht="14.25" customHeight="1">
      <c r="A694" s="140">
        <v>41557</v>
      </c>
      <c r="B694">
        <v>20272.91</v>
      </c>
      <c r="C694">
        <v>170.1</v>
      </c>
      <c r="D694">
        <v>1.17E-3</v>
      </c>
      <c r="E694">
        <v>-1.47E-3</v>
      </c>
    </row>
    <row r="695" spans="1:5" ht="14.25" customHeight="1">
      <c r="A695" s="140">
        <v>41558</v>
      </c>
      <c r="B695">
        <v>20528.59</v>
      </c>
      <c r="C695">
        <v>169.55</v>
      </c>
      <c r="D695">
        <v>1.2529999999999999E-2</v>
      </c>
      <c r="E695">
        <v>-3.2399999999999998E-3</v>
      </c>
    </row>
    <row r="696" spans="1:5" ht="14.25" customHeight="1">
      <c r="A696" s="140">
        <v>41561</v>
      </c>
      <c r="B696">
        <v>20607.54</v>
      </c>
      <c r="C696">
        <v>169.3</v>
      </c>
      <c r="D696">
        <v>3.8400000000000001E-3</v>
      </c>
      <c r="E696">
        <v>-1.48E-3</v>
      </c>
    </row>
    <row r="697" spans="1:5" ht="14.25" customHeight="1">
      <c r="A697" s="140">
        <v>41562</v>
      </c>
      <c r="B697">
        <v>20547.62</v>
      </c>
      <c r="C697">
        <v>168.7</v>
      </c>
      <c r="D697">
        <v>-2.9099999999999998E-3</v>
      </c>
      <c r="E697">
        <v>-3.5500000000000002E-3</v>
      </c>
    </row>
    <row r="698" spans="1:5" ht="14.25" customHeight="1">
      <c r="A698" s="140">
        <v>41564</v>
      </c>
      <c r="B698">
        <v>20415.509999999998</v>
      </c>
      <c r="C698">
        <v>166.7</v>
      </c>
      <c r="D698">
        <v>-6.45E-3</v>
      </c>
      <c r="E698">
        <v>-1.193E-2</v>
      </c>
    </row>
    <row r="699" spans="1:5" ht="14.25" customHeight="1">
      <c r="A699" s="140">
        <v>41565</v>
      </c>
      <c r="B699">
        <v>20882.89</v>
      </c>
      <c r="C699">
        <v>168.95</v>
      </c>
      <c r="D699">
        <v>2.264E-2</v>
      </c>
      <c r="E699">
        <v>1.341E-2</v>
      </c>
    </row>
    <row r="700" spans="1:5" ht="14.25" customHeight="1">
      <c r="A700" s="140">
        <v>41568</v>
      </c>
      <c r="B700">
        <v>20893.89</v>
      </c>
      <c r="C700">
        <v>170.45</v>
      </c>
      <c r="D700">
        <v>5.2999999999999998E-4</v>
      </c>
      <c r="E700">
        <v>8.8400000000000006E-3</v>
      </c>
    </row>
    <row r="701" spans="1:5" ht="14.25" customHeight="1">
      <c r="A701" s="140">
        <v>41569</v>
      </c>
      <c r="B701">
        <v>20864.97</v>
      </c>
      <c r="C701">
        <v>178.6</v>
      </c>
      <c r="D701">
        <v>-1.39E-3</v>
      </c>
      <c r="E701">
        <v>4.6710000000000002E-2</v>
      </c>
    </row>
    <row r="702" spans="1:5" ht="14.25" customHeight="1">
      <c r="A702" s="140">
        <v>41570</v>
      </c>
      <c r="B702">
        <v>20767.88</v>
      </c>
      <c r="C702">
        <v>176.15</v>
      </c>
      <c r="D702">
        <v>-4.6600000000000001E-3</v>
      </c>
      <c r="E702">
        <v>-1.3809999999999999E-2</v>
      </c>
    </row>
    <row r="703" spans="1:5" ht="14.25" customHeight="1">
      <c r="A703" s="140">
        <v>41571</v>
      </c>
      <c r="B703">
        <v>20725.43</v>
      </c>
      <c r="C703">
        <v>176.55</v>
      </c>
      <c r="D703">
        <v>-2.0500000000000002E-3</v>
      </c>
      <c r="E703">
        <v>2.2699999999999999E-3</v>
      </c>
    </row>
    <row r="704" spans="1:5" ht="14.25" customHeight="1">
      <c r="A704" s="140">
        <v>41572</v>
      </c>
      <c r="B704">
        <v>20683.52</v>
      </c>
      <c r="C704">
        <v>182.5</v>
      </c>
      <c r="D704">
        <v>-2.0200000000000001E-3</v>
      </c>
      <c r="E704">
        <v>3.3149999999999999E-2</v>
      </c>
    </row>
    <row r="705" spans="1:5" ht="14.25" customHeight="1">
      <c r="A705" s="140">
        <v>41575</v>
      </c>
      <c r="B705">
        <v>20570.28</v>
      </c>
      <c r="C705">
        <v>175.65</v>
      </c>
      <c r="D705">
        <v>-5.4900000000000001E-3</v>
      </c>
      <c r="E705">
        <v>-3.8260000000000002E-2</v>
      </c>
    </row>
    <row r="706" spans="1:5" ht="14.25" customHeight="1">
      <c r="A706" s="140">
        <v>41576</v>
      </c>
      <c r="B706">
        <v>20929.009999999998</v>
      </c>
      <c r="C706">
        <v>177.45</v>
      </c>
      <c r="D706">
        <v>1.729E-2</v>
      </c>
      <c r="E706">
        <v>1.0200000000000001E-2</v>
      </c>
    </row>
    <row r="707" spans="1:5" ht="14.25" customHeight="1">
      <c r="A707" s="140">
        <v>41577</v>
      </c>
      <c r="B707">
        <v>21033.97</v>
      </c>
      <c r="C707">
        <v>179.15</v>
      </c>
      <c r="D707">
        <v>5.0000000000000001E-3</v>
      </c>
      <c r="E707">
        <v>9.5300000000000003E-3</v>
      </c>
    </row>
    <row r="708" spans="1:5" ht="14.25" customHeight="1">
      <c r="A708" s="140">
        <v>41578</v>
      </c>
      <c r="B708">
        <v>21164.52</v>
      </c>
      <c r="C708">
        <v>178.5</v>
      </c>
      <c r="D708">
        <v>6.1900000000000002E-3</v>
      </c>
      <c r="E708">
        <v>-3.63E-3</v>
      </c>
    </row>
    <row r="709" spans="1:5" ht="14.25" customHeight="1">
      <c r="A709" s="140">
        <v>41579</v>
      </c>
      <c r="B709">
        <v>21196.81</v>
      </c>
      <c r="C709">
        <v>176.8</v>
      </c>
      <c r="D709">
        <v>1.5200000000000001E-3</v>
      </c>
      <c r="E709">
        <v>-9.5700000000000004E-3</v>
      </c>
    </row>
    <row r="710" spans="1:5" ht="14.25" customHeight="1">
      <c r="A710" s="140">
        <v>41581</v>
      </c>
      <c r="B710">
        <v>21239.360000000001</v>
      </c>
      <c r="C710">
        <v>177.95</v>
      </c>
      <c r="D710">
        <v>2.0100000000000001E-3</v>
      </c>
      <c r="E710">
        <v>6.4799999999999996E-3</v>
      </c>
    </row>
    <row r="711" spans="1:5" ht="14.25" customHeight="1">
      <c r="A711" s="140">
        <v>41583</v>
      </c>
      <c r="B711">
        <v>20974.79</v>
      </c>
      <c r="C711">
        <v>173</v>
      </c>
      <c r="D711">
        <v>-1.2529999999999999E-2</v>
      </c>
      <c r="E711">
        <v>-2.8209999999999999E-2</v>
      </c>
    </row>
    <row r="712" spans="1:5" ht="14.25" customHeight="1">
      <c r="A712" s="140">
        <v>41584</v>
      </c>
      <c r="B712">
        <v>20894.939999999999</v>
      </c>
      <c r="C712">
        <v>170.1</v>
      </c>
      <c r="D712">
        <v>-3.81E-3</v>
      </c>
      <c r="E712">
        <v>-1.6910000000000001E-2</v>
      </c>
    </row>
    <row r="713" spans="1:5" ht="14.25" customHeight="1">
      <c r="A713" s="140">
        <v>41585</v>
      </c>
      <c r="B713">
        <v>20822.77</v>
      </c>
      <c r="C713">
        <v>168.15</v>
      </c>
      <c r="D713">
        <v>-3.46E-3</v>
      </c>
      <c r="E713">
        <v>-1.153E-2</v>
      </c>
    </row>
    <row r="714" spans="1:5" ht="14.25" customHeight="1">
      <c r="A714" s="140">
        <v>41586</v>
      </c>
      <c r="B714">
        <v>20666.150000000001</v>
      </c>
      <c r="C714">
        <v>163.25</v>
      </c>
      <c r="D714">
        <v>-7.5500000000000003E-3</v>
      </c>
      <c r="E714">
        <v>-2.9569999999999999E-2</v>
      </c>
    </row>
    <row r="715" spans="1:5" ht="14.25" customHeight="1">
      <c r="A715" s="140">
        <v>41589</v>
      </c>
      <c r="B715">
        <v>20490.96</v>
      </c>
      <c r="C715">
        <v>161.1</v>
      </c>
      <c r="D715">
        <v>-8.5100000000000002E-3</v>
      </c>
      <c r="E715">
        <v>-1.3259999999999999E-2</v>
      </c>
    </row>
    <row r="716" spans="1:5" ht="14.25" customHeight="1">
      <c r="A716" s="140">
        <v>41590</v>
      </c>
      <c r="B716">
        <v>20281.91</v>
      </c>
      <c r="C716">
        <v>163.15</v>
      </c>
      <c r="D716">
        <v>-1.025E-2</v>
      </c>
      <c r="E716">
        <v>1.264E-2</v>
      </c>
    </row>
    <row r="717" spans="1:5" ht="14.25" customHeight="1">
      <c r="A717" s="140">
        <v>41591</v>
      </c>
      <c r="B717">
        <v>20194.400000000001</v>
      </c>
      <c r="C717">
        <v>161.85</v>
      </c>
      <c r="D717">
        <v>-4.3200000000000001E-3</v>
      </c>
      <c r="E717">
        <v>-8.0000000000000002E-3</v>
      </c>
    </row>
    <row r="718" spans="1:5" ht="14.25" customHeight="1">
      <c r="A718" s="140">
        <v>41592</v>
      </c>
      <c r="B718">
        <v>20399.419999999998</v>
      </c>
      <c r="C718">
        <v>163.85</v>
      </c>
      <c r="D718">
        <v>1.01E-2</v>
      </c>
      <c r="E718">
        <v>1.2279999999999999E-2</v>
      </c>
    </row>
    <row r="719" spans="1:5" ht="14.25" customHeight="1">
      <c r="A719" s="140">
        <v>41596</v>
      </c>
      <c r="B719">
        <v>20850.740000000002</v>
      </c>
      <c r="C719">
        <v>162.30000000000001</v>
      </c>
      <c r="D719">
        <v>2.188E-2</v>
      </c>
      <c r="E719">
        <v>-9.4999999999999998E-3</v>
      </c>
    </row>
    <row r="720" spans="1:5" ht="14.25" customHeight="1">
      <c r="A720" s="140">
        <v>41597</v>
      </c>
      <c r="B720">
        <v>20890.82</v>
      </c>
      <c r="C720">
        <v>159.94999999999999</v>
      </c>
      <c r="D720">
        <v>1.92E-3</v>
      </c>
      <c r="E720">
        <v>-1.4590000000000001E-2</v>
      </c>
    </row>
    <row r="721" spans="1:5" ht="14.25" customHeight="1">
      <c r="A721" s="140">
        <v>41598</v>
      </c>
      <c r="B721">
        <v>20635.13</v>
      </c>
      <c r="C721">
        <v>157.35</v>
      </c>
      <c r="D721">
        <v>-1.231E-2</v>
      </c>
      <c r="E721">
        <v>-1.6389999999999998E-2</v>
      </c>
    </row>
    <row r="722" spans="1:5" ht="14.25" customHeight="1">
      <c r="A722" s="140">
        <v>41599</v>
      </c>
      <c r="B722">
        <v>20229.05</v>
      </c>
      <c r="C722">
        <v>160.9</v>
      </c>
      <c r="D722">
        <v>-1.9879999999999998E-2</v>
      </c>
      <c r="E722">
        <v>2.231E-2</v>
      </c>
    </row>
    <row r="723" spans="1:5" ht="14.25" customHeight="1">
      <c r="A723" s="140">
        <v>41600</v>
      </c>
      <c r="B723">
        <v>20217.39</v>
      </c>
      <c r="C723">
        <v>161.15</v>
      </c>
      <c r="D723">
        <v>-5.8E-4</v>
      </c>
      <c r="E723">
        <v>1.5499999999999999E-3</v>
      </c>
    </row>
    <row r="724" spans="1:5" ht="14.25" customHeight="1">
      <c r="A724" s="140">
        <v>41603</v>
      </c>
      <c r="B724">
        <v>20605.080000000002</v>
      </c>
      <c r="C724">
        <v>167</v>
      </c>
      <c r="D724">
        <v>1.899E-2</v>
      </c>
      <c r="E724">
        <v>3.5659999999999997E-2</v>
      </c>
    </row>
    <row r="725" spans="1:5" ht="14.25" customHeight="1">
      <c r="A725" s="140">
        <v>41604</v>
      </c>
      <c r="B725">
        <v>20425.02</v>
      </c>
      <c r="C725">
        <v>165.5</v>
      </c>
      <c r="D725">
        <v>-8.7799999999999996E-3</v>
      </c>
      <c r="E725">
        <v>-9.0200000000000002E-3</v>
      </c>
    </row>
    <row r="726" spans="1:5" ht="14.25" customHeight="1">
      <c r="A726" s="140">
        <v>41605</v>
      </c>
      <c r="B726">
        <v>20420.259999999998</v>
      </c>
      <c r="C726">
        <v>165.4</v>
      </c>
      <c r="D726">
        <v>-2.3000000000000001E-4</v>
      </c>
      <c r="E726">
        <v>-5.9999999999999995E-4</v>
      </c>
    </row>
    <row r="727" spans="1:5" ht="14.25" customHeight="1">
      <c r="A727" s="140">
        <v>41606</v>
      </c>
      <c r="B727">
        <v>20534.91</v>
      </c>
      <c r="C727">
        <v>162.94999999999999</v>
      </c>
      <c r="D727">
        <v>5.5999999999999999E-3</v>
      </c>
      <c r="E727">
        <v>-1.4919999999999999E-2</v>
      </c>
    </row>
    <row r="728" spans="1:5" ht="14.25" customHeight="1">
      <c r="A728" s="140">
        <v>41607</v>
      </c>
      <c r="B728">
        <v>20791.93</v>
      </c>
      <c r="C728">
        <v>165.4</v>
      </c>
      <c r="D728">
        <v>1.244E-2</v>
      </c>
      <c r="E728">
        <v>1.4919999999999999E-2</v>
      </c>
    </row>
    <row r="729" spans="1:5" ht="14.25" customHeight="1">
      <c r="A729" s="140">
        <v>41610</v>
      </c>
      <c r="B729">
        <v>20898.009999999998</v>
      </c>
      <c r="C729">
        <v>166.5</v>
      </c>
      <c r="D729">
        <v>5.0899999999999999E-3</v>
      </c>
      <c r="E729">
        <v>6.6299999999999996E-3</v>
      </c>
    </row>
    <row r="730" spans="1:5" ht="14.25" customHeight="1">
      <c r="A730" s="140">
        <v>41611</v>
      </c>
      <c r="B730">
        <v>20854.919999999998</v>
      </c>
      <c r="C730">
        <v>164.65</v>
      </c>
      <c r="D730">
        <v>-2.0600000000000002E-3</v>
      </c>
      <c r="E730">
        <v>-1.1169999999999999E-2</v>
      </c>
    </row>
    <row r="731" spans="1:5" ht="14.25" customHeight="1">
      <c r="A731" s="140">
        <v>41612</v>
      </c>
      <c r="B731">
        <v>20708.71</v>
      </c>
      <c r="C731">
        <v>163.25</v>
      </c>
      <c r="D731">
        <v>-7.0400000000000003E-3</v>
      </c>
      <c r="E731">
        <v>-8.5400000000000007E-3</v>
      </c>
    </row>
    <row r="732" spans="1:5" ht="14.25" customHeight="1">
      <c r="A732" s="140">
        <v>41613</v>
      </c>
      <c r="B732">
        <v>20957.810000000001</v>
      </c>
      <c r="C732">
        <v>163.19999999999999</v>
      </c>
      <c r="D732">
        <v>1.196E-2</v>
      </c>
      <c r="E732">
        <v>-3.1E-4</v>
      </c>
    </row>
    <row r="733" spans="1:5" ht="14.25" customHeight="1">
      <c r="A733" s="140">
        <v>41614</v>
      </c>
      <c r="B733">
        <v>20996.53</v>
      </c>
      <c r="C733">
        <v>164.45</v>
      </c>
      <c r="D733">
        <v>1.8500000000000001E-3</v>
      </c>
      <c r="E733">
        <v>7.6299999999999996E-3</v>
      </c>
    </row>
    <row r="734" spans="1:5" ht="14.25" customHeight="1">
      <c r="A734" s="140">
        <v>41617</v>
      </c>
      <c r="B734">
        <v>21326.42</v>
      </c>
      <c r="C734">
        <v>164.15</v>
      </c>
      <c r="D734">
        <v>1.559E-2</v>
      </c>
      <c r="E734">
        <v>-1.83E-3</v>
      </c>
    </row>
    <row r="735" spans="1:5" ht="14.25" customHeight="1">
      <c r="A735" s="140">
        <v>41618</v>
      </c>
      <c r="B735">
        <v>21255.26</v>
      </c>
      <c r="C735">
        <v>164.95</v>
      </c>
      <c r="D735">
        <v>-3.3400000000000001E-3</v>
      </c>
      <c r="E735">
        <v>4.8599999999999997E-3</v>
      </c>
    </row>
    <row r="736" spans="1:5" ht="14.25" customHeight="1">
      <c r="A736" s="140">
        <v>41619</v>
      </c>
      <c r="B736">
        <v>21171.41</v>
      </c>
      <c r="C736">
        <v>169.05</v>
      </c>
      <c r="D736">
        <v>-3.9500000000000004E-3</v>
      </c>
      <c r="E736">
        <v>2.4549999999999999E-2</v>
      </c>
    </row>
    <row r="737" spans="1:5" ht="14.25" customHeight="1">
      <c r="A737" s="140">
        <v>41620</v>
      </c>
      <c r="B737">
        <v>20925.61</v>
      </c>
      <c r="C737">
        <v>167.9</v>
      </c>
      <c r="D737">
        <v>-1.1679999999999999E-2</v>
      </c>
      <c r="E737">
        <v>-6.8300000000000001E-3</v>
      </c>
    </row>
    <row r="738" spans="1:5" ht="14.25" customHeight="1">
      <c r="A738" s="140">
        <v>41621</v>
      </c>
      <c r="B738">
        <v>20715.580000000002</v>
      </c>
      <c r="C738">
        <v>165.75</v>
      </c>
      <c r="D738">
        <v>-1.009E-2</v>
      </c>
      <c r="E738">
        <v>-1.289E-2</v>
      </c>
    </row>
    <row r="739" spans="1:5" ht="14.25" customHeight="1">
      <c r="A739" s="140">
        <v>41624</v>
      </c>
      <c r="B739">
        <v>20659.52</v>
      </c>
      <c r="C739">
        <v>166.1</v>
      </c>
      <c r="D739">
        <v>-2.7100000000000002E-3</v>
      </c>
      <c r="E739">
        <v>2.1099999999999999E-3</v>
      </c>
    </row>
    <row r="740" spans="1:5" ht="14.25" customHeight="1">
      <c r="A740" s="140">
        <v>41625</v>
      </c>
      <c r="B740">
        <v>20612.14</v>
      </c>
      <c r="C740">
        <v>166</v>
      </c>
      <c r="D740">
        <v>-2.3E-3</v>
      </c>
      <c r="E740">
        <v>-5.9999999999999995E-4</v>
      </c>
    </row>
    <row r="741" spans="1:5" ht="14.25" customHeight="1">
      <c r="A741" s="140">
        <v>41626</v>
      </c>
      <c r="B741">
        <v>20859.86</v>
      </c>
      <c r="C741">
        <v>164.6</v>
      </c>
      <c r="D741">
        <v>1.1950000000000001E-2</v>
      </c>
      <c r="E741">
        <v>-8.4700000000000001E-3</v>
      </c>
    </row>
    <row r="742" spans="1:5" ht="14.25" customHeight="1">
      <c r="A742" s="140">
        <v>41627</v>
      </c>
      <c r="B742">
        <v>20708.62</v>
      </c>
      <c r="C742">
        <v>167.5</v>
      </c>
      <c r="D742">
        <v>-7.28E-3</v>
      </c>
      <c r="E742">
        <v>1.7469999999999999E-2</v>
      </c>
    </row>
    <row r="743" spans="1:5" ht="14.25" customHeight="1">
      <c r="A743" s="140">
        <v>41628</v>
      </c>
      <c r="B743">
        <v>21079.72</v>
      </c>
      <c r="C743">
        <v>167.2</v>
      </c>
      <c r="D743">
        <v>1.7760000000000001E-2</v>
      </c>
      <c r="E743">
        <v>-1.7899999999999999E-3</v>
      </c>
    </row>
    <row r="744" spans="1:5" ht="14.25" customHeight="1">
      <c r="A744" s="140">
        <v>41631</v>
      </c>
      <c r="B744">
        <v>21101.03</v>
      </c>
      <c r="C744">
        <v>167.3</v>
      </c>
      <c r="D744">
        <v>1.01E-3</v>
      </c>
      <c r="E744">
        <v>5.9999999999999995E-4</v>
      </c>
    </row>
    <row r="745" spans="1:5" ht="14.25" customHeight="1">
      <c r="A745" s="140">
        <v>41632</v>
      </c>
      <c r="B745">
        <v>21032.71</v>
      </c>
      <c r="C745">
        <v>171.35</v>
      </c>
      <c r="D745">
        <v>-3.2399999999999998E-3</v>
      </c>
      <c r="E745">
        <v>2.392E-2</v>
      </c>
    </row>
    <row r="746" spans="1:5" ht="14.25" customHeight="1">
      <c r="A746" s="140">
        <v>41634</v>
      </c>
      <c r="B746">
        <v>21074.59</v>
      </c>
      <c r="C746">
        <v>173.55</v>
      </c>
      <c r="D746">
        <v>1.99E-3</v>
      </c>
      <c r="E746">
        <v>1.2760000000000001E-2</v>
      </c>
    </row>
    <row r="747" spans="1:5" ht="14.25" customHeight="1">
      <c r="A747" s="140">
        <v>41635</v>
      </c>
      <c r="B747">
        <v>21193.58</v>
      </c>
      <c r="C747">
        <v>172.35</v>
      </c>
      <c r="D747">
        <v>5.6299999999999996E-3</v>
      </c>
      <c r="E747">
        <v>-6.94E-3</v>
      </c>
    </row>
    <row r="748" spans="1:5" ht="14.25" customHeight="1">
      <c r="A748" s="140">
        <v>41638</v>
      </c>
      <c r="B748">
        <v>21143.01</v>
      </c>
      <c r="C748">
        <v>171.1</v>
      </c>
      <c r="D748">
        <v>-2.3900000000000002E-3</v>
      </c>
      <c r="E748">
        <v>-7.28E-3</v>
      </c>
    </row>
    <row r="749" spans="1:5" ht="14.25" customHeight="1">
      <c r="A749" s="140">
        <v>41639</v>
      </c>
      <c r="B749">
        <v>21170.68</v>
      </c>
      <c r="C749">
        <v>170.2</v>
      </c>
      <c r="D749">
        <v>1.31E-3</v>
      </c>
      <c r="E749">
        <v>-5.2700000000000004E-3</v>
      </c>
    </row>
    <row r="750" spans="1:5" ht="14.25" customHeight="1">
      <c r="A750" s="140">
        <v>41640</v>
      </c>
      <c r="B750">
        <v>21140.48</v>
      </c>
      <c r="C750">
        <v>171.95</v>
      </c>
      <c r="D750">
        <v>-1.4300000000000001E-3</v>
      </c>
      <c r="E750">
        <v>1.023E-2</v>
      </c>
    </row>
    <row r="751" spans="1:5" ht="14.25" customHeight="1">
      <c r="A751" s="140">
        <v>41641</v>
      </c>
      <c r="B751">
        <v>20888.330000000002</v>
      </c>
      <c r="C751">
        <v>167</v>
      </c>
      <c r="D751">
        <v>-1.2E-2</v>
      </c>
      <c r="E751">
        <v>-2.921E-2</v>
      </c>
    </row>
    <row r="752" spans="1:5" ht="14.25" customHeight="1">
      <c r="A752" s="140">
        <v>41642</v>
      </c>
      <c r="B752">
        <v>20851.330000000002</v>
      </c>
      <c r="C752">
        <v>167.15</v>
      </c>
      <c r="D752">
        <v>-1.7700000000000001E-3</v>
      </c>
      <c r="E752">
        <v>8.9999999999999998E-4</v>
      </c>
    </row>
    <row r="753" spans="1:5" ht="14.25" customHeight="1">
      <c r="A753" s="140">
        <v>41645</v>
      </c>
      <c r="B753">
        <v>20787.3</v>
      </c>
      <c r="C753">
        <v>169.65</v>
      </c>
      <c r="D753">
        <v>-3.0799999999999998E-3</v>
      </c>
      <c r="E753">
        <v>1.485E-2</v>
      </c>
    </row>
    <row r="754" spans="1:5" ht="14.25" customHeight="1">
      <c r="A754" s="140">
        <v>41646</v>
      </c>
      <c r="B754">
        <v>20693.240000000002</v>
      </c>
      <c r="C754">
        <v>172.55</v>
      </c>
      <c r="D754">
        <v>-4.5399999999999998E-3</v>
      </c>
      <c r="E754">
        <v>1.695E-2</v>
      </c>
    </row>
    <row r="755" spans="1:5" ht="14.25" customHeight="1">
      <c r="A755" s="140">
        <v>41647</v>
      </c>
      <c r="B755">
        <v>20729.38</v>
      </c>
      <c r="C755">
        <v>174.05</v>
      </c>
      <c r="D755">
        <v>1.74E-3</v>
      </c>
      <c r="E755">
        <v>8.6599999999999993E-3</v>
      </c>
    </row>
    <row r="756" spans="1:5" ht="14.25" customHeight="1">
      <c r="A756" s="140">
        <v>41648</v>
      </c>
      <c r="B756">
        <v>20713.37</v>
      </c>
      <c r="C756">
        <v>173.05</v>
      </c>
      <c r="D756">
        <v>-7.6999999999999996E-4</v>
      </c>
      <c r="E756">
        <v>-5.7600000000000004E-3</v>
      </c>
    </row>
    <row r="757" spans="1:5" ht="14.25" customHeight="1">
      <c r="A757" s="140">
        <v>41649</v>
      </c>
      <c r="B757">
        <v>20758.490000000002</v>
      </c>
      <c r="C757">
        <v>174</v>
      </c>
      <c r="D757">
        <v>2.1800000000000001E-3</v>
      </c>
      <c r="E757">
        <v>5.47E-3</v>
      </c>
    </row>
    <row r="758" spans="1:5" ht="14.25" customHeight="1">
      <c r="A758" s="140">
        <v>41652</v>
      </c>
      <c r="B758">
        <v>21134.21</v>
      </c>
      <c r="C758">
        <v>170.3</v>
      </c>
      <c r="D758">
        <v>1.7940000000000001E-2</v>
      </c>
      <c r="E758">
        <v>-2.1489999999999999E-2</v>
      </c>
    </row>
    <row r="759" spans="1:5" ht="14.25" customHeight="1">
      <c r="A759" s="140">
        <v>41653</v>
      </c>
      <c r="B759">
        <v>21032.880000000001</v>
      </c>
      <c r="C759">
        <v>171.85</v>
      </c>
      <c r="D759">
        <v>-4.81E-3</v>
      </c>
      <c r="E759">
        <v>9.0600000000000003E-3</v>
      </c>
    </row>
    <row r="760" spans="1:5" ht="14.25" customHeight="1">
      <c r="A760" s="140">
        <v>41654</v>
      </c>
      <c r="B760">
        <v>21289.49</v>
      </c>
      <c r="C760">
        <v>170.6</v>
      </c>
      <c r="D760">
        <v>1.213E-2</v>
      </c>
      <c r="E760">
        <v>-7.3000000000000001E-3</v>
      </c>
    </row>
    <row r="761" spans="1:5" ht="14.25" customHeight="1">
      <c r="A761" s="140">
        <v>41655</v>
      </c>
      <c r="B761">
        <v>21265.18</v>
      </c>
      <c r="C761">
        <v>168.05</v>
      </c>
      <c r="D761">
        <v>-1.14E-3</v>
      </c>
      <c r="E761">
        <v>-1.506E-2</v>
      </c>
    </row>
    <row r="762" spans="1:5" ht="14.25" customHeight="1">
      <c r="A762" s="140">
        <v>41656</v>
      </c>
      <c r="B762">
        <v>21063.62</v>
      </c>
      <c r="C762">
        <v>167.7</v>
      </c>
      <c r="D762">
        <v>-9.5200000000000007E-3</v>
      </c>
      <c r="E762">
        <v>-2.0799999999999998E-3</v>
      </c>
    </row>
    <row r="763" spans="1:5" ht="14.25" customHeight="1">
      <c r="A763" s="140">
        <v>41659</v>
      </c>
      <c r="B763">
        <v>21205.05</v>
      </c>
      <c r="C763">
        <v>169.7</v>
      </c>
      <c r="D763">
        <v>6.6899999999999998E-3</v>
      </c>
      <c r="E763">
        <v>1.1860000000000001E-2</v>
      </c>
    </row>
    <row r="764" spans="1:5" ht="14.25" customHeight="1">
      <c r="A764" s="140">
        <v>41660</v>
      </c>
      <c r="B764">
        <v>21251.119999999999</v>
      </c>
      <c r="C764">
        <v>167.6</v>
      </c>
      <c r="D764">
        <v>2.1700000000000001E-3</v>
      </c>
      <c r="E764">
        <v>-1.2449999999999999E-2</v>
      </c>
    </row>
    <row r="765" spans="1:5" ht="14.25" customHeight="1">
      <c r="A765" s="140">
        <v>41661</v>
      </c>
      <c r="B765">
        <v>21337.67</v>
      </c>
      <c r="C765">
        <v>160.85</v>
      </c>
      <c r="D765">
        <v>4.0600000000000002E-3</v>
      </c>
      <c r="E765">
        <v>-4.1110000000000001E-2</v>
      </c>
    </row>
    <row r="766" spans="1:5" ht="14.25" customHeight="1">
      <c r="A766" s="140">
        <v>41662</v>
      </c>
      <c r="B766">
        <v>21373.66</v>
      </c>
      <c r="C766">
        <v>161.75</v>
      </c>
      <c r="D766">
        <v>1.6900000000000001E-3</v>
      </c>
      <c r="E766">
        <v>5.5799999999999999E-3</v>
      </c>
    </row>
    <row r="767" spans="1:5" ht="14.25" customHeight="1">
      <c r="A767" s="140">
        <v>41663</v>
      </c>
      <c r="B767">
        <v>21133.56</v>
      </c>
      <c r="C767">
        <v>163.65</v>
      </c>
      <c r="D767">
        <v>-1.1299999999999999E-2</v>
      </c>
      <c r="E767">
        <v>1.1679999999999999E-2</v>
      </c>
    </row>
    <row r="768" spans="1:5" ht="14.25" customHeight="1">
      <c r="A768" s="140">
        <v>41666</v>
      </c>
      <c r="B768">
        <v>20707.45</v>
      </c>
      <c r="C768">
        <v>162.9</v>
      </c>
      <c r="D768">
        <v>-2.0369999999999999E-2</v>
      </c>
      <c r="E768">
        <v>-4.5900000000000003E-3</v>
      </c>
    </row>
    <row r="769" spans="1:5" ht="14.25" customHeight="1">
      <c r="A769" s="140">
        <v>41667</v>
      </c>
      <c r="B769">
        <v>20683.509999999998</v>
      </c>
      <c r="C769">
        <v>168.3</v>
      </c>
      <c r="D769">
        <v>-1.16E-3</v>
      </c>
      <c r="E769">
        <v>3.261E-2</v>
      </c>
    </row>
    <row r="770" spans="1:5" ht="14.25" customHeight="1">
      <c r="A770" s="140">
        <v>41668</v>
      </c>
      <c r="B770">
        <v>20647.3</v>
      </c>
      <c r="C770">
        <v>171</v>
      </c>
      <c r="D770">
        <v>-1.75E-3</v>
      </c>
      <c r="E770">
        <v>1.592E-2</v>
      </c>
    </row>
    <row r="771" spans="1:5" ht="14.25" customHeight="1">
      <c r="A771" s="140">
        <v>41669</v>
      </c>
      <c r="B771">
        <v>20498.25</v>
      </c>
      <c r="C771">
        <v>170</v>
      </c>
      <c r="D771">
        <v>-7.2500000000000004E-3</v>
      </c>
      <c r="E771">
        <v>-5.8700000000000002E-3</v>
      </c>
    </row>
    <row r="772" spans="1:5" ht="14.25" customHeight="1">
      <c r="A772" s="140">
        <v>41670</v>
      </c>
      <c r="B772">
        <v>20513.849999999999</v>
      </c>
      <c r="C772">
        <v>172</v>
      </c>
      <c r="D772">
        <v>7.6000000000000004E-4</v>
      </c>
      <c r="E772">
        <v>1.17E-2</v>
      </c>
    </row>
    <row r="773" spans="1:5" ht="14.25" customHeight="1">
      <c r="A773" s="140">
        <v>41673</v>
      </c>
      <c r="B773">
        <v>20209.259999999998</v>
      </c>
      <c r="C773">
        <v>168.35</v>
      </c>
      <c r="D773">
        <v>-1.4959999999999999E-2</v>
      </c>
      <c r="E773">
        <v>-2.145E-2</v>
      </c>
    </row>
    <row r="774" spans="1:5" ht="14.25" customHeight="1">
      <c r="A774" s="140">
        <v>41674</v>
      </c>
      <c r="B774">
        <v>20211.93</v>
      </c>
      <c r="C774">
        <v>170.35</v>
      </c>
      <c r="D774">
        <v>1.2999999999999999E-4</v>
      </c>
      <c r="E774">
        <v>1.1809999999999999E-2</v>
      </c>
    </row>
    <row r="775" spans="1:5" ht="14.25" customHeight="1">
      <c r="A775" s="140">
        <v>41675</v>
      </c>
      <c r="B775">
        <v>20261.03</v>
      </c>
      <c r="C775">
        <v>173</v>
      </c>
      <c r="D775">
        <v>2.4299999999999999E-3</v>
      </c>
      <c r="E775">
        <v>1.5440000000000001E-2</v>
      </c>
    </row>
    <row r="776" spans="1:5" ht="14.25" customHeight="1">
      <c r="A776" s="140">
        <v>41676</v>
      </c>
      <c r="B776">
        <v>20310.740000000002</v>
      </c>
      <c r="C776">
        <v>172.75</v>
      </c>
      <c r="D776">
        <v>2.4499999999999999E-3</v>
      </c>
      <c r="E776">
        <v>-1.4499999999999999E-3</v>
      </c>
    </row>
    <row r="777" spans="1:5" ht="14.25" customHeight="1">
      <c r="A777" s="140">
        <v>41677</v>
      </c>
      <c r="B777">
        <v>20376.560000000001</v>
      </c>
      <c r="C777">
        <v>174.65</v>
      </c>
      <c r="D777">
        <v>3.2399999999999998E-3</v>
      </c>
      <c r="E777">
        <v>1.094E-2</v>
      </c>
    </row>
    <row r="778" spans="1:5" ht="14.25" customHeight="1">
      <c r="A778" s="140">
        <v>41680</v>
      </c>
      <c r="B778">
        <v>20334.27</v>
      </c>
      <c r="C778">
        <v>174.6</v>
      </c>
      <c r="D778">
        <v>-2.0799999999999998E-3</v>
      </c>
      <c r="E778">
        <v>-2.9E-4</v>
      </c>
    </row>
    <row r="779" spans="1:5" ht="14.25" customHeight="1">
      <c r="A779" s="140">
        <v>41681</v>
      </c>
      <c r="B779">
        <v>20363.37</v>
      </c>
      <c r="C779">
        <v>176.25</v>
      </c>
      <c r="D779">
        <v>1.4300000000000001E-3</v>
      </c>
      <c r="E779">
        <v>9.41E-3</v>
      </c>
    </row>
    <row r="780" spans="1:5" ht="14.25" customHeight="1">
      <c r="A780" s="140">
        <v>41682</v>
      </c>
      <c r="B780">
        <v>20448.490000000002</v>
      </c>
      <c r="C780">
        <v>177.45</v>
      </c>
      <c r="D780">
        <v>4.1700000000000001E-3</v>
      </c>
      <c r="E780">
        <v>6.79E-3</v>
      </c>
    </row>
    <row r="781" spans="1:5" ht="14.25" customHeight="1">
      <c r="A781" s="140">
        <v>41683</v>
      </c>
      <c r="B781">
        <v>20193.349999999999</v>
      </c>
      <c r="C781">
        <v>172</v>
      </c>
      <c r="D781">
        <v>-1.256E-2</v>
      </c>
      <c r="E781">
        <v>-3.1189999999999999E-2</v>
      </c>
    </row>
    <row r="782" spans="1:5" ht="14.25" customHeight="1">
      <c r="A782" s="140">
        <v>41684</v>
      </c>
      <c r="B782">
        <v>20366.82</v>
      </c>
      <c r="C782">
        <v>173.2</v>
      </c>
      <c r="D782">
        <v>8.5500000000000003E-3</v>
      </c>
      <c r="E782">
        <v>6.9499999999999996E-3</v>
      </c>
    </row>
    <row r="783" spans="1:5" ht="14.25" customHeight="1">
      <c r="A783" s="140">
        <v>41687</v>
      </c>
      <c r="B783">
        <v>20464.060000000001</v>
      </c>
      <c r="C783">
        <v>172.55</v>
      </c>
      <c r="D783">
        <v>4.7600000000000003E-3</v>
      </c>
      <c r="E783">
        <v>-3.7599999999999999E-3</v>
      </c>
    </row>
    <row r="784" spans="1:5" ht="14.25" customHeight="1">
      <c r="A784" s="140">
        <v>41688</v>
      </c>
      <c r="B784">
        <v>20634.21</v>
      </c>
      <c r="C784">
        <v>171.05</v>
      </c>
      <c r="D784">
        <v>8.2799999999999992E-3</v>
      </c>
      <c r="E784">
        <v>-8.7299999999999999E-3</v>
      </c>
    </row>
    <row r="785" spans="1:5" ht="14.25" customHeight="1">
      <c r="A785" s="140">
        <v>41689</v>
      </c>
      <c r="B785">
        <v>20722.97</v>
      </c>
      <c r="C785">
        <v>170.6</v>
      </c>
      <c r="D785">
        <v>4.2900000000000004E-3</v>
      </c>
      <c r="E785">
        <v>-2.63E-3</v>
      </c>
    </row>
    <row r="786" spans="1:5" ht="14.25" customHeight="1">
      <c r="A786" s="140">
        <v>41690</v>
      </c>
      <c r="B786">
        <v>20536.64</v>
      </c>
      <c r="C786">
        <v>170.25</v>
      </c>
      <c r="D786">
        <v>-9.0299999999999998E-3</v>
      </c>
      <c r="E786">
        <v>-2.0500000000000002E-3</v>
      </c>
    </row>
    <row r="787" spans="1:5" ht="14.25" customHeight="1">
      <c r="A787" s="140">
        <v>41691</v>
      </c>
      <c r="B787">
        <v>20700.75</v>
      </c>
      <c r="C787">
        <v>173.05</v>
      </c>
      <c r="D787">
        <v>7.9600000000000001E-3</v>
      </c>
      <c r="E787">
        <v>1.6310000000000002E-2</v>
      </c>
    </row>
    <row r="788" spans="1:5" ht="14.25" customHeight="1">
      <c r="A788" s="140">
        <v>41694</v>
      </c>
      <c r="B788">
        <v>20811.439999999999</v>
      </c>
      <c r="C788">
        <v>172.65</v>
      </c>
      <c r="D788">
        <v>5.3299999999999997E-3</v>
      </c>
      <c r="E788">
        <v>-2.31E-3</v>
      </c>
    </row>
    <row r="789" spans="1:5" ht="14.25" customHeight="1">
      <c r="A789" s="140">
        <v>41695</v>
      </c>
      <c r="B789">
        <v>20852.47</v>
      </c>
      <c r="C789">
        <v>172.1</v>
      </c>
      <c r="D789">
        <v>1.97E-3</v>
      </c>
      <c r="E789">
        <v>-3.1900000000000001E-3</v>
      </c>
    </row>
    <row r="790" spans="1:5" ht="14.25" customHeight="1">
      <c r="A790" s="140">
        <v>41696</v>
      </c>
      <c r="B790">
        <v>20986.99</v>
      </c>
      <c r="C790">
        <v>172.2</v>
      </c>
      <c r="D790">
        <v>6.43E-3</v>
      </c>
      <c r="E790">
        <v>5.8E-4</v>
      </c>
    </row>
    <row r="791" spans="1:5" ht="14.25" customHeight="1">
      <c r="A791" s="140">
        <v>41698</v>
      </c>
      <c r="B791">
        <v>21120.12</v>
      </c>
      <c r="C791">
        <v>172.95</v>
      </c>
      <c r="D791">
        <v>6.3200000000000001E-3</v>
      </c>
      <c r="E791">
        <v>4.3499999999999997E-3</v>
      </c>
    </row>
    <row r="792" spans="1:5" ht="14.25" customHeight="1">
      <c r="A792" s="140">
        <v>41701</v>
      </c>
      <c r="B792">
        <v>20946.650000000001</v>
      </c>
      <c r="C792">
        <v>172.65</v>
      </c>
      <c r="D792">
        <v>-8.2500000000000004E-3</v>
      </c>
      <c r="E792">
        <v>-1.74E-3</v>
      </c>
    </row>
    <row r="793" spans="1:5" ht="14.25" customHeight="1">
      <c r="A793" s="140">
        <v>41702</v>
      </c>
      <c r="B793">
        <v>21209.73</v>
      </c>
      <c r="C793">
        <v>174.2</v>
      </c>
      <c r="D793">
        <v>1.248E-2</v>
      </c>
      <c r="E793">
        <v>8.94E-3</v>
      </c>
    </row>
    <row r="794" spans="1:5" ht="14.25" customHeight="1">
      <c r="A794" s="140">
        <v>41703</v>
      </c>
      <c r="B794">
        <v>21276.86</v>
      </c>
      <c r="C794">
        <v>171.7</v>
      </c>
      <c r="D794">
        <v>3.16E-3</v>
      </c>
      <c r="E794">
        <v>-1.4460000000000001E-2</v>
      </c>
    </row>
    <row r="795" spans="1:5" ht="14.25" customHeight="1">
      <c r="A795" s="140">
        <v>41704</v>
      </c>
      <c r="B795">
        <v>21513.87</v>
      </c>
      <c r="C795">
        <v>173.45</v>
      </c>
      <c r="D795">
        <v>1.108E-2</v>
      </c>
      <c r="E795">
        <v>1.014E-2</v>
      </c>
    </row>
    <row r="796" spans="1:5" ht="14.25" customHeight="1">
      <c r="A796" s="140">
        <v>41705</v>
      </c>
      <c r="B796">
        <v>21919.79</v>
      </c>
      <c r="C796">
        <v>172.1</v>
      </c>
      <c r="D796">
        <v>1.8689999999999998E-2</v>
      </c>
      <c r="E796">
        <v>-7.8100000000000001E-3</v>
      </c>
    </row>
    <row r="797" spans="1:5" ht="14.25" customHeight="1">
      <c r="A797" s="140">
        <v>41708</v>
      </c>
      <c r="B797">
        <v>21934.83</v>
      </c>
      <c r="C797">
        <v>172.85</v>
      </c>
      <c r="D797">
        <v>6.8999999999999997E-4</v>
      </c>
      <c r="E797">
        <v>4.3499999999999997E-3</v>
      </c>
    </row>
    <row r="798" spans="1:5" ht="14.25" customHeight="1">
      <c r="A798" s="140">
        <v>41709</v>
      </c>
      <c r="B798">
        <v>21826.42</v>
      </c>
      <c r="C798">
        <v>174.65</v>
      </c>
      <c r="D798">
        <v>-4.9500000000000004E-3</v>
      </c>
      <c r="E798">
        <v>1.0359999999999999E-2</v>
      </c>
    </row>
    <row r="799" spans="1:5" ht="14.25" customHeight="1">
      <c r="A799" s="140">
        <v>41710</v>
      </c>
      <c r="B799">
        <v>21856.22</v>
      </c>
      <c r="C799">
        <v>172.65</v>
      </c>
      <c r="D799">
        <v>1.3600000000000001E-3</v>
      </c>
      <c r="E799">
        <v>-1.1520000000000001E-2</v>
      </c>
    </row>
    <row r="800" spans="1:5" ht="14.25" customHeight="1">
      <c r="A800" s="140">
        <v>41711</v>
      </c>
      <c r="B800">
        <v>21774.61</v>
      </c>
      <c r="C800">
        <v>171.65</v>
      </c>
      <c r="D800">
        <v>-3.7399999999999998E-3</v>
      </c>
      <c r="E800">
        <v>-5.8100000000000001E-3</v>
      </c>
    </row>
    <row r="801" spans="1:5" ht="14.25" customHeight="1">
      <c r="A801" s="140">
        <v>41712</v>
      </c>
      <c r="B801">
        <v>21809.8</v>
      </c>
      <c r="C801">
        <v>173.7</v>
      </c>
      <c r="D801">
        <v>1.6100000000000001E-3</v>
      </c>
      <c r="E801">
        <v>1.187E-2</v>
      </c>
    </row>
    <row r="802" spans="1:5" ht="14.25" customHeight="1">
      <c r="A802" s="140">
        <v>41716</v>
      </c>
      <c r="B802">
        <v>21832.61</v>
      </c>
      <c r="C802">
        <v>177</v>
      </c>
      <c r="D802">
        <v>1.0499999999999999E-3</v>
      </c>
      <c r="E802">
        <v>1.882E-2</v>
      </c>
    </row>
    <row r="803" spans="1:5" ht="14.25" customHeight="1">
      <c r="A803" s="140">
        <v>41717</v>
      </c>
      <c r="B803">
        <v>21832.86</v>
      </c>
      <c r="C803">
        <v>177.95</v>
      </c>
      <c r="D803">
        <v>1.0000000000000001E-5</v>
      </c>
      <c r="E803">
        <v>5.3499999999999997E-3</v>
      </c>
    </row>
    <row r="804" spans="1:5" ht="14.25" customHeight="1">
      <c r="A804" s="140">
        <v>41718</v>
      </c>
      <c r="B804">
        <v>21740.09</v>
      </c>
      <c r="C804">
        <v>179.1</v>
      </c>
      <c r="D804">
        <v>-4.2599999999999999E-3</v>
      </c>
      <c r="E804">
        <v>6.4400000000000004E-3</v>
      </c>
    </row>
    <row r="805" spans="1:5" ht="14.25" customHeight="1">
      <c r="A805" s="140">
        <v>41719</v>
      </c>
      <c r="B805">
        <v>21753.75</v>
      </c>
      <c r="C805">
        <v>179.6</v>
      </c>
      <c r="D805">
        <v>6.3000000000000003E-4</v>
      </c>
      <c r="E805">
        <v>2.7899999999999999E-3</v>
      </c>
    </row>
    <row r="806" spans="1:5" ht="14.25" customHeight="1">
      <c r="A806" s="140">
        <v>41720</v>
      </c>
      <c r="B806">
        <v>21755.32</v>
      </c>
      <c r="C806">
        <v>179.5</v>
      </c>
      <c r="D806">
        <v>6.9999999999999994E-5</v>
      </c>
      <c r="E806">
        <v>-5.5999999999999995E-4</v>
      </c>
    </row>
    <row r="807" spans="1:5" ht="14.25" customHeight="1">
      <c r="A807" s="140">
        <v>41722</v>
      </c>
      <c r="B807">
        <v>22055.48</v>
      </c>
      <c r="C807">
        <v>179.05</v>
      </c>
      <c r="D807">
        <v>1.37E-2</v>
      </c>
      <c r="E807">
        <v>-2.5100000000000001E-3</v>
      </c>
    </row>
    <row r="808" spans="1:5" ht="14.25" customHeight="1">
      <c r="A808" s="140">
        <v>41723</v>
      </c>
      <c r="B808">
        <v>22055.21</v>
      </c>
      <c r="C808">
        <v>176.05</v>
      </c>
      <c r="D808">
        <v>-1.0000000000000001E-5</v>
      </c>
      <c r="E808">
        <v>-1.6899999999999998E-2</v>
      </c>
    </row>
    <row r="809" spans="1:5" ht="14.25" customHeight="1">
      <c r="A809" s="140">
        <v>41724</v>
      </c>
      <c r="B809">
        <v>22095.3</v>
      </c>
      <c r="C809">
        <v>177.35</v>
      </c>
      <c r="D809">
        <v>1.82E-3</v>
      </c>
      <c r="E809">
        <v>7.3600000000000002E-3</v>
      </c>
    </row>
    <row r="810" spans="1:5" ht="14.25" customHeight="1">
      <c r="A810" s="140">
        <v>41725</v>
      </c>
      <c r="B810">
        <v>22214.37</v>
      </c>
      <c r="C810">
        <v>177.75</v>
      </c>
      <c r="D810">
        <v>5.3699999999999998E-3</v>
      </c>
      <c r="E810">
        <v>2.2499999999999998E-3</v>
      </c>
    </row>
    <row r="811" spans="1:5" ht="14.25" customHeight="1">
      <c r="A811" s="140">
        <v>41726</v>
      </c>
      <c r="B811">
        <v>22339.97</v>
      </c>
      <c r="C811">
        <v>178.8</v>
      </c>
      <c r="D811">
        <v>5.64E-3</v>
      </c>
      <c r="E811">
        <v>5.8900000000000003E-3</v>
      </c>
    </row>
    <row r="812" spans="1:5" ht="14.25" customHeight="1">
      <c r="A812" s="140">
        <v>41729</v>
      </c>
      <c r="B812">
        <v>22386.27</v>
      </c>
      <c r="C812">
        <v>179.55</v>
      </c>
      <c r="D812">
        <v>2.0699999999999998E-3</v>
      </c>
      <c r="E812">
        <v>4.1900000000000001E-3</v>
      </c>
    </row>
    <row r="813" spans="1:5" ht="14.25" customHeight="1">
      <c r="A813" s="140">
        <v>41730</v>
      </c>
      <c r="B813">
        <v>22446.44</v>
      </c>
      <c r="C813">
        <v>187.65</v>
      </c>
      <c r="D813">
        <v>2.6800000000000001E-3</v>
      </c>
      <c r="E813">
        <v>4.4119999999999999E-2</v>
      </c>
    </row>
    <row r="814" spans="1:5" ht="14.25" customHeight="1">
      <c r="A814" s="140">
        <v>41731</v>
      </c>
      <c r="B814">
        <v>22551.49</v>
      </c>
      <c r="C814">
        <v>182.55</v>
      </c>
      <c r="D814">
        <v>4.6699999999999997E-3</v>
      </c>
      <c r="E814">
        <v>-2.7550000000000002E-2</v>
      </c>
    </row>
    <row r="815" spans="1:5" ht="14.25" customHeight="1">
      <c r="A815" s="140">
        <v>41732</v>
      </c>
      <c r="B815">
        <v>22509.07</v>
      </c>
      <c r="C815">
        <v>184</v>
      </c>
      <c r="D815">
        <v>-1.8799999999999999E-3</v>
      </c>
      <c r="E815">
        <v>7.9100000000000004E-3</v>
      </c>
    </row>
    <row r="816" spans="1:5" ht="14.25" customHeight="1">
      <c r="A816" s="140">
        <v>41733</v>
      </c>
      <c r="B816">
        <v>22359.5</v>
      </c>
      <c r="C816">
        <v>179.95</v>
      </c>
      <c r="D816">
        <v>-6.6699999999999997E-3</v>
      </c>
      <c r="E816">
        <v>-2.2259999999999999E-2</v>
      </c>
    </row>
    <row r="817" spans="1:5" ht="14.25" customHeight="1">
      <c r="A817" s="140">
        <v>41736</v>
      </c>
      <c r="B817">
        <v>22343.45</v>
      </c>
      <c r="C817">
        <v>183.5</v>
      </c>
      <c r="D817">
        <v>-7.2000000000000005E-4</v>
      </c>
      <c r="E817">
        <v>1.9539999999999998E-2</v>
      </c>
    </row>
    <row r="818" spans="1:5" ht="14.25" customHeight="1">
      <c r="A818" s="140">
        <v>41738</v>
      </c>
      <c r="B818">
        <v>22702.34</v>
      </c>
      <c r="C818">
        <v>182.6</v>
      </c>
      <c r="D818">
        <v>1.593E-2</v>
      </c>
      <c r="E818">
        <v>-4.9199999999999999E-3</v>
      </c>
    </row>
    <row r="819" spans="1:5" ht="14.25" customHeight="1">
      <c r="A819" s="140">
        <v>41739</v>
      </c>
      <c r="B819">
        <v>22715.33</v>
      </c>
      <c r="C819">
        <v>181.25</v>
      </c>
      <c r="D819">
        <v>5.6999999999999998E-4</v>
      </c>
      <c r="E819">
        <v>-7.4200000000000004E-3</v>
      </c>
    </row>
    <row r="820" spans="1:5" ht="14.25" customHeight="1">
      <c r="A820" s="140">
        <v>41740</v>
      </c>
      <c r="B820">
        <v>22628.959999999999</v>
      </c>
      <c r="C820">
        <v>179.7</v>
      </c>
      <c r="D820">
        <v>-3.81E-3</v>
      </c>
      <c r="E820">
        <v>-8.5900000000000004E-3</v>
      </c>
    </row>
    <row r="821" spans="1:5" ht="14.25" customHeight="1">
      <c r="A821" s="140">
        <v>41744</v>
      </c>
      <c r="B821">
        <v>22484.93</v>
      </c>
      <c r="C821">
        <v>178.8</v>
      </c>
      <c r="D821">
        <v>-6.3899999999999998E-3</v>
      </c>
      <c r="E821">
        <v>-5.0200000000000002E-3</v>
      </c>
    </row>
    <row r="822" spans="1:5" ht="14.25" customHeight="1">
      <c r="A822" s="140">
        <v>41745</v>
      </c>
      <c r="B822">
        <v>22277.23</v>
      </c>
      <c r="C822">
        <v>179</v>
      </c>
      <c r="D822">
        <v>-9.2800000000000001E-3</v>
      </c>
      <c r="E822">
        <v>1.1199999999999999E-3</v>
      </c>
    </row>
    <row r="823" spans="1:5" ht="14.25" customHeight="1">
      <c r="A823" s="140">
        <v>41746</v>
      </c>
      <c r="B823">
        <v>22628.84</v>
      </c>
      <c r="C823">
        <v>179.2</v>
      </c>
      <c r="D823">
        <v>1.566E-2</v>
      </c>
      <c r="E823">
        <v>1.1199999999999999E-3</v>
      </c>
    </row>
    <row r="824" spans="1:5" ht="14.25" customHeight="1">
      <c r="A824" s="140">
        <v>41750</v>
      </c>
      <c r="B824">
        <v>22764.83</v>
      </c>
      <c r="C824">
        <v>178.4</v>
      </c>
      <c r="D824">
        <v>5.9899999999999997E-3</v>
      </c>
      <c r="E824">
        <v>-4.47E-3</v>
      </c>
    </row>
    <row r="825" spans="1:5" ht="14.25" customHeight="1">
      <c r="A825" s="140">
        <v>41751</v>
      </c>
      <c r="B825">
        <v>22758.37</v>
      </c>
      <c r="C825">
        <v>179.6</v>
      </c>
      <c r="D825">
        <v>-2.7999999999999998E-4</v>
      </c>
      <c r="E825">
        <v>6.7000000000000002E-3</v>
      </c>
    </row>
    <row r="826" spans="1:5" ht="14.25" customHeight="1">
      <c r="A826" s="140">
        <v>41752</v>
      </c>
      <c r="B826">
        <v>22876.54</v>
      </c>
      <c r="C826">
        <v>178.4</v>
      </c>
      <c r="D826">
        <v>5.1799999999999997E-3</v>
      </c>
      <c r="E826">
        <v>-6.7000000000000002E-3</v>
      </c>
    </row>
    <row r="827" spans="1:5" ht="14.25" customHeight="1">
      <c r="A827" s="140">
        <v>41754</v>
      </c>
      <c r="B827">
        <v>22688.07</v>
      </c>
      <c r="C827">
        <v>179.2</v>
      </c>
      <c r="D827">
        <v>-8.2699999999999996E-3</v>
      </c>
      <c r="E827">
        <v>4.47E-3</v>
      </c>
    </row>
    <row r="828" spans="1:5" ht="14.25" customHeight="1">
      <c r="A828" s="140">
        <v>41757</v>
      </c>
      <c r="B828">
        <v>22631.61</v>
      </c>
      <c r="C828">
        <v>180.15</v>
      </c>
      <c r="D828">
        <v>-2.49E-3</v>
      </c>
      <c r="E828">
        <v>5.2900000000000004E-3</v>
      </c>
    </row>
    <row r="829" spans="1:5" ht="14.25" customHeight="1">
      <c r="A829" s="140">
        <v>41758</v>
      </c>
      <c r="B829">
        <v>22466.19</v>
      </c>
      <c r="C829">
        <v>177.7</v>
      </c>
      <c r="D829">
        <v>-7.3400000000000002E-3</v>
      </c>
      <c r="E829">
        <v>-1.3690000000000001E-2</v>
      </c>
    </row>
    <row r="830" spans="1:5" ht="14.25" customHeight="1">
      <c r="A830" s="140">
        <v>41759</v>
      </c>
      <c r="B830">
        <v>22417.8</v>
      </c>
      <c r="C830">
        <v>179.35</v>
      </c>
      <c r="D830">
        <v>-2.16E-3</v>
      </c>
      <c r="E830">
        <v>9.2399999999999999E-3</v>
      </c>
    </row>
    <row r="831" spans="1:5" ht="14.25" customHeight="1">
      <c r="A831" s="140">
        <v>41761</v>
      </c>
      <c r="B831">
        <v>22403.89</v>
      </c>
      <c r="C831">
        <v>180</v>
      </c>
      <c r="D831">
        <v>-6.2E-4</v>
      </c>
      <c r="E831">
        <v>3.62E-3</v>
      </c>
    </row>
    <row r="832" spans="1:5" ht="14.25" customHeight="1">
      <c r="A832" s="140">
        <v>41764</v>
      </c>
      <c r="B832">
        <v>22445.119999999999</v>
      </c>
      <c r="C832">
        <v>179.65</v>
      </c>
      <c r="D832">
        <v>1.8400000000000001E-3</v>
      </c>
      <c r="E832">
        <v>-1.9499999999999999E-3</v>
      </c>
    </row>
    <row r="833" spans="1:5" ht="14.25" customHeight="1">
      <c r="A833" s="140">
        <v>41765</v>
      </c>
      <c r="B833">
        <v>22508.42</v>
      </c>
      <c r="C833">
        <v>179.1</v>
      </c>
      <c r="D833">
        <v>2.82E-3</v>
      </c>
      <c r="E833">
        <v>-3.0699999999999998E-3</v>
      </c>
    </row>
    <row r="834" spans="1:5" ht="14.25" customHeight="1">
      <c r="A834" s="140">
        <v>41766</v>
      </c>
      <c r="B834">
        <v>22323.9</v>
      </c>
      <c r="C834">
        <v>177.95</v>
      </c>
      <c r="D834">
        <v>-8.2299999999999995E-3</v>
      </c>
      <c r="E834">
        <v>-6.4400000000000004E-3</v>
      </c>
    </row>
    <row r="835" spans="1:5" ht="14.25" customHeight="1">
      <c r="A835" s="140">
        <v>41767</v>
      </c>
      <c r="B835">
        <v>22344.04</v>
      </c>
      <c r="C835">
        <v>179.95</v>
      </c>
      <c r="D835">
        <v>8.9999999999999998E-4</v>
      </c>
      <c r="E835">
        <v>1.1180000000000001E-2</v>
      </c>
    </row>
    <row r="836" spans="1:5" ht="14.25" customHeight="1">
      <c r="A836" s="140">
        <v>41768</v>
      </c>
      <c r="B836">
        <v>22994.23</v>
      </c>
      <c r="C836">
        <v>179.8</v>
      </c>
      <c r="D836">
        <v>2.8680000000000001E-2</v>
      </c>
      <c r="E836">
        <v>-8.3000000000000001E-4</v>
      </c>
    </row>
    <row r="837" spans="1:5" ht="14.25" customHeight="1">
      <c r="A837" s="140">
        <v>41771</v>
      </c>
      <c r="B837">
        <v>23551</v>
      </c>
      <c r="C837">
        <v>182</v>
      </c>
      <c r="D837">
        <v>2.392E-2</v>
      </c>
      <c r="E837">
        <v>1.2160000000000001E-2</v>
      </c>
    </row>
    <row r="838" spans="1:5" ht="14.25" customHeight="1">
      <c r="A838" s="140">
        <v>41772</v>
      </c>
      <c r="B838">
        <v>23871.23</v>
      </c>
      <c r="C838">
        <v>188.9</v>
      </c>
      <c r="D838">
        <v>1.3509999999999999E-2</v>
      </c>
      <c r="E838">
        <v>3.721E-2</v>
      </c>
    </row>
    <row r="839" spans="1:5" ht="14.25" customHeight="1">
      <c r="A839" s="140">
        <v>41773</v>
      </c>
      <c r="B839">
        <v>23815.119999999999</v>
      </c>
      <c r="C839">
        <v>189.7</v>
      </c>
      <c r="D839">
        <v>-2.3500000000000001E-3</v>
      </c>
      <c r="E839">
        <v>4.2300000000000003E-3</v>
      </c>
    </row>
    <row r="840" spans="1:5" ht="14.25" customHeight="1">
      <c r="A840" s="140">
        <v>41774</v>
      </c>
      <c r="B840">
        <v>23905.599999999999</v>
      </c>
      <c r="C840">
        <v>187.75</v>
      </c>
      <c r="D840">
        <v>3.79E-3</v>
      </c>
      <c r="E840">
        <v>-1.0330000000000001E-2</v>
      </c>
    </row>
    <row r="841" spans="1:5" ht="14.25" customHeight="1">
      <c r="A841" s="140">
        <v>41775</v>
      </c>
      <c r="B841">
        <v>24121.74</v>
      </c>
      <c r="C841">
        <v>181.5</v>
      </c>
      <c r="D841">
        <v>8.9999999999999993E-3</v>
      </c>
      <c r="E841">
        <v>-3.3860000000000001E-2</v>
      </c>
    </row>
    <row r="842" spans="1:5" ht="14.25" customHeight="1">
      <c r="A842" s="140">
        <v>41778</v>
      </c>
      <c r="B842">
        <v>24363.05</v>
      </c>
      <c r="C842">
        <v>179.9</v>
      </c>
      <c r="D842">
        <v>9.9500000000000005E-3</v>
      </c>
      <c r="E842">
        <v>-8.8500000000000002E-3</v>
      </c>
    </row>
    <row r="843" spans="1:5" ht="14.25" customHeight="1">
      <c r="A843" s="140">
        <v>41779</v>
      </c>
      <c r="B843">
        <v>24376.880000000001</v>
      </c>
      <c r="C843">
        <v>182.8</v>
      </c>
      <c r="D843">
        <v>5.6999999999999998E-4</v>
      </c>
      <c r="E843">
        <v>1.5990000000000001E-2</v>
      </c>
    </row>
    <row r="844" spans="1:5" ht="14.25" customHeight="1">
      <c r="A844" s="140">
        <v>41780</v>
      </c>
      <c r="B844">
        <v>24298.02</v>
      </c>
      <c r="C844">
        <v>184.15</v>
      </c>
      <c r="D844">
        <v>-3.2399999999999998E-3</v>
      </c>
      <c r="E844">
        <v>7.3600000000000002E-3</v>
      </c>
    </row>
    <row r="845" spans="1:5" ht="14.25" customHeight="1">
      <c r="A845" s="140">
        <v>41781</v>
      </c>
      <c r="B845">
        <v>24374.400000000001</v>
      </c>
      <c r="C845">
        <v>185.1</v>
      </c>
      <c r="D845">
        <v>3.14E-3</v>
      </c>
      <c r="E845">
        <v>5.1500000000000001E-3</v>
      </c>
    </row>
    <row r="846" spans="1:5" ht="14.25" customHeight="1">
      <c r="A846" s="140">
        <v>41782</v>
      </c>
      <c r="B846">
        <v>24693.35</v>
      </c>
      <c r="C846">
        <v>183.15</v>
      </c>
      <c r="D846">
        <v>1.2999999999999999E-2</v>
      </c>
      <c r="E846">
        <v>-1.059E-2</v>
      </c>
    </row>
    <row r="847" spans="1:5" ht="14.25" customHeight="1">
      <c r="A847" s="140">
        <v>41785</v>
      </c>
      <c r="B847">
        <v>24716.880000000001</v>
      </c>
      <c r="C847">
        <v>178.85</v>
      </c>
      <c r="D847">
        <v>9.5E-4</v>
      </c>
      <c r="E847">
        <v>-2.376E-2</v>
      </c>
    </row>
    <row r="848" spans="1:5" ht="14.25" customHeight="1">
      <c r="A848" s="140">
        <v>41786</v>
      </c>
      <c r="B848">
        <v>24549.51</v>
      </c>
      <c r="C848">
        <v>179.5</v>
      </c>
      <c r="D848">
        <v>-6.79E-3</v>
      </c>
      <c r="E848">
        <v>3.63E-3</v>
      </c>
    </row>
    <row r="849" spans="1:5" ht="14.25" customHeight="1">
      <c r="A849" s="140">
        <v>41787</v>
      </c>
      <c r="B849">
        <v>24556.09</v>
      </c>
      <c r="C849">
        <v>180.9</v>
      </c>
      <c r="D849">
        <v>2.7E-4</v>
      </c>
      <c r="E849">
        <v>7.77E-3</v>
      </c>
    </row>
    <row r="850" spans="1:5" ht="14.25" customHeight="1">
      <c r="A850" s="140">
        <v>41788</v>
      </c>
      <c r="B850">
        <v>24234.15</v>
      </c>
      <c r="C850">
        <v>178.65</v>
      </c>
      <c r="D850">
        <v>-1.32E-2</v>
      </c>
      <c r="E850">
        <v>-1.252E-2</v>
      </c>
    </row>
    <row r="851" spans="1:5" ht="14.25" customHeight="1">
      <c r="A851" s="140">
        <v>41789</v>
      </c>
      <c r="B851">
        <v>24217.34</v>
      </c>
      <c r="C851">
        <v>187.5</v>
      </c>
      <c r="D851">
        <v>-6.8999999999999997E-4</v>
      </c>
      <c r="E851">
        <v>4.8349999999999997E-2</v>
      </c>
    </row>
    <row r="852" spans="1:5" ht="14.25" customHeight="1">
      <c r="A852" s="140">
        <v>41792</v>
      </c>
      <c r="B852">
        <v>24684.85</v>
      </c>
      <c r="C852">
        <v>184.8</v>
      </c>
      <c r="D852">
        <v>1.9120000000000002E-2</v>
      </c>
      <c r="E852">
        <v>-1.4500000000000001E-2</v>
      </c>
    </row>
    <row r="853" spans="1:5" ht="14.25" customHeight="1">
      <c r="A853" s="140">
        <v>41793</v>
      </c>
      <c r="B853">
        <v>24858.59</v>
      </c>
      <c r="C853">
        <v>185.15</v>
      </c>
      <c r="D853">
        <v>7.0099999999999997E-3</v>
      </c>
      <c r="E853">
        <v>1.89E-3</v>
      </c>
    </row>
    <row r="854" spans="1:5" ht="14.25" customHeight="1">
      <c r="A854" s="140">
        <v>41794</v>
      </c>
      <c r="B854">
        <v>24805.83</v>
      </c>
      <c r="C854">
        <v>184.35</v>
      </c>
      <c r="D854">
        <v>-2.1199999999999999E-3</v>
      </c>
      <c r="E854">
        <v>-4.3299999999999996E-3</v>
      </c>
    </row>
    <row r="855" spans="1:5" ht="14.25" customHeight="1">
      <c r="A855" s="140">
        <v>41795</v>
      </c>
      <c r="B855">
        <v>25019.51</v>
      </c>
      <c r="C855">
        <v>188.7</v>
      </c>
      <c r="D855">
        <v>8.5800000000000008E-3</v>
      </c>
      <c r="E855">
        <v>2.332E-2</v>
      </c>
    </row>
    <row r="856" spans="1:5" ht="14.25" customHeight="1">
      <c r="A856" s="140">
        <v>41796</v>
      </c>
      <c r="B856">
        <v>25396.46</v>
      </c>
      <c r="C856">
        <v>191.1</v>
      </c>
      <c r="D856">
        <v>1.495E-2</v>
      </c>
      <c r="E856">
        <v>1.264E-2</v>
      </c>
    </row>
    <row r="857" spans="1:5" ht="14.25" customHeight="1">
      <c r="A857" s="140">
        <v>41799</v>
      </c>
      <c r="B857">
        <v>25580.21</v>
      </c>
      <c r="C857">
        <v>189.55</v>
      </c>
      <c r="D857">
        <v>7.2100000000000003E-3</v>
      </c>
      <c r="E857">
        <v>-8.1399999999999997E-3</v>
      </c>
    </row>
    <row r="858" spans="1:5" ht="14.25" customHeight="1">
      <c r="A858" s="140">
        <v>41800</v>
      </c>
      <c r="B858">
        <v>25583.69</v>
      </c>
      <c r="C858">
        <v>191.6</v>
      </c>
      <c r="D858">
        <v>1.3999999999999999E-4</v>
      </c>
      <c r="E858">
        <v>1.076E-2</v>
      </c>
    </row>
    <row r="859" spans="1:5" ht="14.25" customHeight="1">
      <c r="A859" s="140">
        <v>41801</v>
      </c>
      <c r="B859">
        <v>25473.89</v>
      </c>
      <c r="C859">
        <v>189.65</v>
      </c>
      <c r="D859">
        <v>-4.3E-3</v>
      </c>
      <c r="E859">
        <v>-1.023E-2</v>
      </c>
    </row>
    <row r="860" spans="1:5" ht="14.25" customHeight="1">
      <c r="A860" s="140">
        <v>41802</v>
      </c>
      <c r="B860">
        <v>25576.21</v>
      </c>
      <c r="C860">
        <v>192.2</v>
      </c>
      <c r="D860">
        <v>4.0099999999999997E-3</v>
      </c>
      <c r="E860">
        <v>1.336E-2</v>
      </c>
    </row>
    <row r="861" spans="1:5" ht="14.25" customHeight="1">
      <c r="A861" s="140">
        <v>41803</v>
      </c>
      <c r="B861">
        <v>25228.17</v>
      </c>
      <c r="C861">
        <v>189.15</v>
      </c>
      <c r="D861">
        <v>-1.37E-2</v>
      </c>
      <c r="E861">
        <v>-1.6E-2</v>
      </c>
    </row>
    <row r="862" spans="1:5" ht="14.25" customHeight="1">
      <c r="A862" s="140">
        <v>41806</v>
      </c>
      <c r="B862">
        <v>25190.48</v>
      </c>
      <c r="C862">
        <v>187.35</v>
      </c>
      <c r="D862">
        <v>-1.5E-3</v>
      </c>
      <c r="E862">
        <v>-9.5600000000000008E-3</v>
      </c>
    </row>
    <row r="863" spans="1:5" ht="14.25" customHeight="1">
      <c r="A863" s="140">
        <v>41807</v>
      </c>
      <c r="B863">
        <v>25521.19</v>
      </c>
      <c r="C863">
        <v>188.2</v>
      </c>
      <c r="D863">
        <v>1.304E-2</v>
      </c>
      <c r="E863">
        <v>4.5300000000000002E-3</v>
      </c>
    </row>
    <row r="864" spans="1:5" ht="14.25" customHeight="1">
      <c r="A864" s="140">
        <v>41808</v>
      </c>
      <c r="B864">
        <v>25246.25</v>
      </c>
      <c r="C864">
        <v>189</v>
      </c>
      <c r="D864">
        <v>-1.0829999999999999E-2</v>
      </c>
      <c r="E864">
        <v>4.2399999999999998E-3</v>
      </c>
    </row>
    <row r="865" spans="1:5" ht="14.25" customHeight="1">
      <c r="A865" s="140">
        <v>41809</v>
      </c>
      <c r="B865">
        <v>25201.8</v>
      </c>
      <c r="C865">
        <v>190.25</v>
      </c>
      <c r="D865">
        <v>-1.7600000000000001E-3</v>
      </c>
      <c r="E865">
        <v>6.5900000000000004E-3</v>
      </c>
    </row>
    <row r="866" spans="1:5" ht="14.25" customHeight="1">
      <c r="A866" s="140">
        <v>41810</v>
      </c>
      <c r="B866">
        <v>25105.51</v>
      </c>
      <c r="C866">
        <v>188.8</v>
      </c>
      <c r="D866">
        <v>-3.8300000000000001E-3</v>
      </c>
      <c r="E866">
        <v>-7.6499999999999997E-3</v>
      </c>
    </row>
    <row r="867" spans="1:5" ht="14.25" customHeight="1">
      <c r="A867" s="140">
        <v>41813</v>
      </c>
      <c r="B867">
        <v>25031.32</v>
      </c>
      <c r="C867">
        <v>187.4</v>
      </c>
      <c r="D867">
        <v>-2.96E-3</v>
      </c>
      <c r="E867">
        <v>-7.4400000000000004E-3</v>
      </c>
    </row>
    <row r="868" spans="1:5" ht="14.25" customHeight="1">
      <c r="A868" s="140">
        <v>41814</v>
      </c>
      <c r="B868">
        <v>25368.9</v>
      </c>
      <c r="C868">
        <v>186.4</v>
      </c>
      <c r="D868">
        <v>1.34E-2</v>
      </c>
      <c r="E868">
        <v>-5.3499999999999997E-3</v>
      </c>
    </row>
    <row r="869" spans="1:5" ht="14.25" customHeight="1">
      <c r="A869" s="140">
        <v>41815</v>
      </c>
      <c r="B869">
        <v>25313.74</v>
      </c>
      <c r="C869">
        <v>186.1</v>
      </c>
      <c r="D869">
        <v>-2.1800000000000001E-3</v>
      </c>
      <c r="E869">
        <v>-1.6100000000000001E-3</v>
      </c>
    </row>
    <row r="870" spans="1:5" ht="14.25" customHeight="1">
      <c r="A870" s="140">
        <v>41816</v>
      </c>
      <c r="B870">
        <v>25062.67</v>
      </c>
      <c r="C870">
        <v>185.2</v>
      </c>
      <c r="D870">
        <v>-9.9699999999999997E-3</v>
      </c>
      <c r="E870">
        <v>-4.8500000000000001E-3</v>
      </c>
    </row>
    <row r="871" spans="1:5" ht="14.25" customHeight="1">
      <c r="A871" s="140">
        <v>41817</v>
      </c>
      <c r="B871">
        <v>25099.919999999998</v>
      </c>
      <c r="C871">
        <v>186.05</v>
      </c>
      <c r="D871">
        <v>1.49E-3</v>
      </c>
      <c r="E871">
        <v>4.5799999999999999E-3</v>
      </c>
    </row>
    <row r="872" spans="1:5" ht="14.25" customHeight="1">
      <c r="A872" s="140">
        <v>41820</v>
      </c>
      <c r="B872">
        <v>25413.78</v>
      </c>
      <c r="C872">
        <v>187.25</v>
      </c>
      <c r="D872">
        <v>1.243E-2</v>
      </c>
      <c r="E872">
        <v>6.43E-3</v>
      </c>
    </row>
    <row r="873" spans="1:5" ht="14.25" customHeight="1">
      <c r="A873" s="140">
        <v>41821</v>
      </c>
      <c r="B873">
        <v>25516.35</v>
      </c>
      <c r="C873">
        <v>187</v>
      </c>
      <c r="D873">
        <v>4.0299999999999997E-3</v>
      </c>
      <c r="E873">
        <v>-1.34E-3</v>
      </c>
    </row>
    <row r="874" spans="1:5" ht="14.25" customHeight="1">
      <c r="A874" s="140">
        <v>41822</v>
      </c>
      <c r="B874">
        <v>25841.21</v>
      </c>
      <c r="C874">
        <v>186.55</v>
      </c>
      <c r="D874">
        <v>1.265E-2</v>
      </c>
      <c r="E874">
        <v>-2.4099999999999998E-3</v>
      </c>
    </row>
    <row r="875" spans="1:5" ht="14.25" customHeight="1">
      <c r="A875" s="140">
        <v>41823</v>
      </c>
      <c r="B875">
        <v>25823.75</v>
      </c>
      <c r="C875">
        <v>191.85</v>
      </c>
      <c r="D875">
        <v>-6.8000000000000005E-4</v>
      </c>
      <c r="E875">
        <v>2.801E-2</v>
      </c>
    </row>
    <row r="876" spans="1:5" ht="14.25" customHeight="1">
      <c r="A876" s="140">
        <v>41824</v>
      </c>
      <c r="B876">
        <v>25962.06</v>
      </c>
      <c r="C876">
        <v>191.3</v>
      </c>
      <c r="D876">
        <v>5.3400000000000001E-3</v>
      </c>
      <c r="E876">
        <v>-2.8700000000000002E-3</v>
      </c>
    </row>
    <row r="877" spans="1:5" ht="14.25" customHeight="1">
      <c r="A877" s="140">
        <v>41827</v>
      </c>
      <c r="B877">
        <v>26100.080000000002</v>
      </c>
      <c r="C877">
        <v>192.95</v>
      </c>
      <c r="D877">
        <v>5.3E-3</v>
      </c>
      <c r="E877">
        <v>8.5900000000000004E-3</v>
      </c>
    </row>
    <row r="878" spans="1:5" ht="14.25" customHeight="1">
      <c r="A878" s="140">
        <v>41828</v>
      </c>
      <c r="B878">
        <v>25582.11</v>
      </c>
      <c r="C878">
        <v>192.3</v>
      </c>
      <c r="D878">
        <v>-2.0049999999999998E-2</v>
      </c>
      <c r="E878">
        <v>-3.3700000000000002E-3</v>
      </c>
    </row>
    <row r="879" spans="1:5" ht="14.25" customHeight="1">
      <c r="A879" s="140">
        <v>41829</v>
      </c>
      <c r="B879">
        <v>25444.81</v>
      </c>
      <c r="C879">
        <v>194.65</v>
      </c>
      <c r="D879">
        <v>-5.3800000000000002E-3</v>
      </c>
      <c r="E879">
        <v>1.2149999999999999E-2</v>
      </c>
    </row>
    <row r="880" spans="1:5" ht="14.25" customHeight="1">
      <c r="A880" s="140">
        <v>41830</v>
      </c>
      <c r="B880">
        <v>25372.75</v>
      </c>
      <c r="C880">
        <v>193.85</v>
      </c>
      <c r="D880">
        <v>-2.8400000000000001E-3</v>
      </c>
      <c r="E880">
        <v>-4.1200000000000004E-3</v>
      </c>
    </row>
    <row r="881" spans="1:5" ht="14.25" customHeight="1">
      <c r="A881" s="140">
        <v>41831</v>
      </c>
      <c r="B881">
        <v>25024.35</v>
      </c>
      <c r="C881">
        <v>193.8</v>
      </c>
      <c r="D881">
        <v>-1.383E-2</v>
      </c>
      <c r="E881">
        <v>-2.5999999999999998E-4</v>
      </c>
    </row>
    <row r="882" spans="1:5" ht="14.25" customHeight="1">
      <c r="A882" s="140">
        <v>41834</v>
      </c>
      <c r="B882">
        <v>25006.98</v>
      </c>
      <c r="C882">
        <v>190.6</v>
      </c>
      <c r="D882">
        <v>-6.8999999999999997E-4</v>
      </c>
      <c r="E882">
        <v>-1.6650000000000002E-2</v>
      </c>
    </row>
    <row r="883" spans="1:5" ht="14.25" customHeight="1">
      <c r="A883" s="140">
        <v>41835</v>
      </c>
      <c r="B883">
        <v>25228.65</v>
      </c>
      <c r="C883">
        <v>194.8</v>
      </c>
      <c r="D883">
        <v>8.8299999999999993E-3</v>
      </c>
      <c r="E883">
        <v>2.18E-2</v>
      </c>
    </row>
    <row r="884" spans="1:5" ht="14.25" customHeight="1">
      <c r="A884" s="140">
        <v>41836</v>
      </c>
      <c r="B884">
        <v>25549.72</v>
      </c>
      <c r="C884">
        <v>194.45</v>
      </c>
      <c r="D884">
        <v>1.265E-2</v>
      </c>
      <c r="E884">
        <v>-1.8E-3</v>
      </c>
    </row>
    <row r="885" spans="1:5" ht="14.25" customHeight="1">
      <c r="A885" s="140">
        <v>41837</v>
      </c>
      <c r="B885">
        <v>25561.16</v>
      </c>
      <c r="C885">
        <v>194</v>
      </c>
      <c r="D885">
        <v>4.4999999999999999E-4</v>
      </c>
      <c r="E885">
        <v>-2.32E-3</v>
      </c>
    </row>
    <row r="886" spans="1:5" ht="14.25" customHeight="1">
      <c r="A886" s="140">
        <v>41838</v>
      </c>
      <c r="B886">
        <v>25641.56</v>
      </c>
      <c r="C886">
        <v>194.05</v>
      </c>
      <c r="D886">
        <v>3.14E-3</v>
      </c>
      <c r="E886">
        <v>2.5999999999999998E-4</v>
      </c>
    </row>
    <row r="887" spans="1:5" ht="14.25" customHeight="1">
      <c r="A887" s="140">
        <v>41841</v>
      </c>
      <c r="B887">
        <v>25715.17</v>
      </c>
      <c r="C887">
        <v>193.8</v>
      </c>
      <c r="D887">
        <v>2.8700000000000002E-3</v>
      </c>
      <c r="E887">
        <v>-1.2899999999999999E-3</v>
      </c>
    </row>
    <row r="888" spans="1:5" ht="14.25" customHeight="1">
      <c r="A888" s="140">
        <v>41842</v>
      </c>
      <c r="B888">
        <v>26025.8</v>
      </c>
      <c r="C888">
        <v>192.95</v>
      </c>
      <c r="D888">
        <v>1.201E-2</v>
      </c>
      <c r="E888">
        <v>-4.4000000000000003E-3</v>
      </c>
    </row>
    <row r="889" spans="1:5" ht="14.25" customHeight="1">
      <c r="A889" s="140">
        <v>41843</v>
      </c>
      <c r="B889">
        <v>26147.33</v>
      </c>
      <c r="C889">
        <v>193.95</v>
      </c>
      <c r="D889">
        <v>4.6600000000000001E-3</v>
      </c>
      <c r="E889">
        <v>5.1700000000000001E-3</v>
      </c>
    </row>
    <row r="890" spans="1:5" ht="14.25" customHeight="1">
      <c r="A890" s="140">
        <v>41844</v>
      </c>
      <c r="B890">
        <v>26271.85</v>
      </c>
      <c r="C890">
        <v>194.95</v>
      </c>
      <c r="D890">
        <v>4.7499999999999999E-3</v>
      </c>
      <c r="E890">
        <v>5.1399999999999996E-3</v>
      </c>
    </row>
    <row r="891" spans="1:5" ht="14.25" customHeight="1">
      <c r="A891" s="140">
        <v>41845</v>
      </c>
      <c r="B891">
        <v>26126.75</v>
      </c>
      <c r="C891">
        <v>199.35</v>
      </c>
      <c r="D891">
        <v>-5.5399999999999998E-3</v>
      </c>
      <c r="E891">
        <v>2.232E-2</v>
      </c>
    </row>
    <row r="892" spans="1:5" ht="14.25" customHeight="1">
      <c r="A892" s="140">
        <v>41848</v>
      </c>
      <c r="B892">
        <v>25991.23</v>
      </c>
      <c r="C892">
        <v>198.05</v>
      </c>
      <c r="D892">
        <v>-5.1999999999999998E-3</v>
      </c>
      <c r="E892">
        <v>-6.5399999999999998E-3</v>
      </c>
    </row>
    <row r="893" spans="1:5" ht="14.25" customHeight="1">
      <c r="A893" s="140">
        <v>41850</v>
      </c>
      <c r="B893">
        <v>26087.42</v>
      </c>
      <c r="C893">
        <v>200.25</v>
      </c>
      <c r="D893">
        <v>3.6900000000000001E-3</v>
      </c>
      <c r="E893">
        <v>1.1050000000000001E-2</v>
      </c>
    </row>
    <row r="894" spans="1:5" ht="14.25" customHeight="1">
      <c r="A894" s="140">
        <v>41851</v>
      </c>
      <c r="B894">
        <v>25894.97</v>
      </c>
      <c r="C894">
        <v>206.7</v>
      </c>
      <c r="D894">
        <v>-7.4000000000000003E-3</v>
      </c>
      <c r="E894">
        <v>3.1699999999999999E-2</v>
      </c>
    </row>
    <row r="895" spans="1:5" ht="14.25" customHeight="1">
      <c r="A895" s="140">
        <v>41852</v>
      </c>
      <c r="B895">
        <v>25480.84</v>
      </c>
      <c r="C895">
        <v>202.3</v>
      </c>
      <c r="D895">
        <v>-1.6119999999999999E-2</v>
      </c>
      <c r="E895">
        <v>-2.1520000000000001E-2</v>
      </c>
    </row>
    <row r="896" spans="1:5" ht="14.25" customHeight="1">
      <c r="A896" s="140">
        <v>41855</v>
      </c>
      <c r="B896">
        <v>25723.16</v>
      </c>
      <c r="C896">
        <v>204.2</v>
      </c>
      <c r="D896">
        <v>9.4599999999999997E-3</v>
      </c>
      <c r="E896">
        <v>9.3500000000000007E-3</v>
      </c>
    </row>
    <row r="897" spans="1:5" ht="14.25" customHeight="1">
      <c r="A897" s="140">
        <v>41856</v>
      </c>
      <c r="B897">
        <v>25908.01</v>
      </c>
      <c r="C897">
        <v>202.8</v>
      </c>
      <c r="D897">
        <v>7.1599999999999997E-3</v>
      </c>
      <c r="E897">
        <v>-6.8799999999999998E-3</v>
      </c>
    </row>
    <row r="898" spans="1:5" ht="14.25" customHeight="1">
      <c r="A898" s="140">
        <v>41857</v>
      </c>
      <c r="B898">
        <v>25665.27</v>
      </c>
      <c r="C898">
        <v>204.6</v>
      </c>
      <c r="D898">
        <v>-9.41E-3</v>
      </c>
      <c r="E898">
        <v>8.8400000000000006E-3</v>
      </c>
    </row>
    <row r="899" spans="1:5" ht="14.25" customHeight="1">
      <c r="A899" s="140">
        <v>41858</v>
      </c>
      <c r="B899">
        <v>25589.01</v>
      </c>
      <c r="C899">
        <v>202.75</v>
      </c>
      <c r="D899">
        <v>-2.98E-3</v>
      </c>
      <c r="E899">
        <v>-9.0799999999999995E-3</v>
      </c>
    </row>
    <row r="900" spans="1:5" ht="14.25" customHeight="1">
      <c r="A900" s="140">
        <v>41859</v>
      </c>
      <c r="B900">
        <v>25329.14</v>
      </c>
      <c r="C900">
        <v>204.8</v>
      </c>
      <c r="D900">
        <v>-1.021E-2</v>
      </c>
      <c r="E900">
        <v>1.0059999999999999E-2</v>
      </c>
    </row>
    <row r="901" spans="1:5" ht="14.25" customHeight="1">
      <c r="A901" s="140">
        <v>41862</v>
      </c>
      <c r="B901">
        <v>25519.24</v>
      </c>
      <c r="C901">
        <v>202.9</v>
      </c>
      <c r="D901">
        <v>7.4799999999999997E-3</v>
      </c>
      <c r="E901">
        <v>-9.3200000000000002E-3</v>
      </c>
    </row>
    <row r="902" spans="1:5" ht="14.25" customHeight="1">
      <c r="A902" s="140">
        <v>41863</v>
      </c>
      <c r="B902">
        <v>25880.77</v>
      </c>
      <c r="C902">
        <v>206.2</v>
      </c>
      <c r="D902">
        <v>1.4069999999999999E-2</v>
      </c>
      <c r="E902">
        <v>1.6129999999999999E-2</v>
      </c>
    </row>
    <row r="903" spans="1:5" ht="14.25" customHeight="1">
      <c r="A903" s="140">
        <v>41864</v>
      </c>
      <c r="B903">
        <v>25918.95</v>
      </c>
      <c r="C903">
        <v>210.85</v>
      </c>
      <c r="D903">
        <v>1.47E-3</v>
      </c>
      <c r="E903">
        <v>2.23E-2</v>
      </c>
    </row>
    <row r="904" spans="1:5" ht="14.25" customHeight="1">
      <c r="A904" s="140">
        <v>41865</v>
      </c>
      <c r="B904">
        <v>26103.23</v>
      </c>
      <c r="C904">
        <v>217.75</v>
      </c>
      <c r="D904">
        <v>7.0800000000000004E-3</v>
      </c>
      <c r="E904">
        <v>3.2199999999999999E-2</v>
      </c>
    </row>
    <row r="905" spans="1:5" ht="14.25" customHeight="1">
      <c r="A905" s="140">
        <v>41869</v>
      </c>
      <c r="B905">
        <v>26390.959999999999</v>
      </c>
      <c r="C905">
        <v>223.45</v>
      </c>
      <c r="D905">
        <v>1.0959999999999999E-2</v>
      </c>
      <c r="E905">
        <v>2.5839999999999998E-2</v>
      </c>
    </row>
    <row r="906" spans="1:5" ht="14.25" customHeight="1">
      <c r="A906" s="140">
        <v>41870</v>
      </c>
      <c r="B906">
        <v>26420.67</v>
      </c>
      <c r="C906">
        <v>225.2</v>
      </c>
      <c r="D906">
        <v>1.1299999999999999E-3</v>
      </c>
      <c r="E906">
        <v>7.7999999999999996E-3</v>
      </c>
    </row>
    <row r="907" spans="1:5" ht="14.25" customHeight="1">
      <c r="A907" s="140">
        <v>41871</v>
      </c>
      <c r="B907">
        <v>26314.29</v>
      </c>
      <c r="C907">
        <v>219.95</v>
      </c>
      <c r="D907">
        <v>-4.0299999999999997E-3</v>
      </c>
      <c r="E907">
        <v>-2.359E-2</v>
      </c>
    </row>
    <row r="908" spans="1:5" ht="14.25" customHeight="1">
      <c r="A908" s="140">
        <v>41872</v>
      </c>
      <c r="B908">
        <v>26360.11</v>
      </c>
      <c r="C908">
        <v>224</v>
      </c>
      <c r="D908">
        <v>1.74E-3</v>
      </c>
      <c r="E908">
        <v>1.8249999999999999E-2</v>
      </c>
    </row>
    <row r="909" spans="1:5" ht="14.25" customHeight="1">
      <c r="A909" s="140">
        <v>41873</v>
      </c>
      <c r="B909">
        <v>26419.55</v>
      </c>
      <c r="C909">
        <v>222.15</v>
      </c>
      <c r="D909">
        <v>2.2499999999999998E-3</v>
      </c>
      <c r="E909">
        <v>-8.2900000000000005E-3</v>
      </c>
    </row>
    <row r="910" spans="1:5" ht="14.25" customHeight="1">
      <c r="A910" s="140">
        <v>41876</v>
      </c>
      <c r="B910">
        <v>26437.02</v>
      </c>
      <c r="C910">
        <v>223.05</v>
      </c>
      <c r="D910">
        <v>6.6E-4</v>
      </c>
      <c r="E910">
        <v>4.0400000000000002E-3</v>
      </c>
    </row>
    <row r="911" spans="1:5" ht="14.25" customHeight="1">
      <c r="A911" s="140">
        <v>41877</v>
      </c>
      <c r="B911">
        <v>26442.81</v>
      </c>
      <c r="C911">
        <v>226.8</v>
      </c>
      <c r="D911">
        <v>2.2000000000000001E-4</v>
      </c>
      <c r="E911">
        <v>1.6670000000000001E-2</v>
      </c>
    </row>
    <row r="912" spans="1:5" ht="14.25" customHeight="1">
      <c r="A912" s="140">
        <v>41878</v>
      </c>
      <c r="B912">
        <v>26560.15</v>
      </c>
      <c r="C912">
        <v>232.05</v>
      </c>
      <c r="D912">
        <v>4.4299999999999999E-3</v>
      </c>
      <c r="E912">
        <v>2.2880000000000001E-2</v>
      </c>
    </row>
    <row r="913" spans="1:5" ht="14.25" customHeight="1">
      <c r="A913" s="140">
        <v>41879</v>
      </c>
      <c r="B913">
        <v>26638.11</v>
      </c>
      <c r="C913">
        <v>232.4</v>
      </c>
      <c r="D913">
        <v>2.9299999999999999E-3</v>
      </c>
      <c r="E913">
        <v>1.5100000000000001E-3</v>
      </c>
    </row>
    <row r="914" spans="1:5" ht="14.25" customHeight="1">
      <c r="A914" s="140">
        <v>41883</v>
      </c>
      <c r="B914">
        <v>26867.55</v>
      </c>
      <c r="C914">
        <v>227.55</v>
      </c>
      <c r="D914">
        <v>8.5800000000000008E-3</v>
      </c>
      <c r="E914">
        <v>-2.1090000000000001E-2</v>
      </c>
    </row>
    <row r="915" spans="1:5" ht="14.25" customHeight="1">
      <c r="A915" s="140">
        <v>41884</v>
      </c>
      <c r="B915">
        <v>27019.39</v>
      </c>
      <c r="C915">
        <v>226.95</v>
      </c>
      <c r="D915">
        <v>5.64E-3</v>
      </c>
      <c r="E915">
        <v>-2.64E-3</v>
      </c>
    </row>
    <row r="916" spans="1:5" ht="14.25" customHeight="1">
      <c r="A916" s="140">
        <v>41885</v>
      </c>
      <c r="B916">
        <v>27139.94</v>
      </c>
      <c r="C916">
        <v>227.35</v>
      </c>
      <c r="D916">
        <v>4.45E-3</v>
      </c>
      <c r="E916">
        <v>1.7600000000000001E-3</v>
      </c>
    </row>
    <row r="917" spans="1:5" ht="14.25" customHeight="1">
      <c r="A917" s="140">
        <v>41886</v>
      </c>
      <c r="B917">
        <v>27085.93</v>
      </c>
      <c r="C917">
        <v>225.7</v>
      </c>
      <c r="D917">
        <v>-1.99E-3</v>
      </c>
      <c r="E917">
        <v>-7.28E-3</v>
      </c>
    </row>
    <row r="918" spans="1:5" ht="14.25" customHeight="1">
      <c r="A918" s="140">
        <v>41887</v>
      </c>
      <c r="B918">
        <v>27026.7</v>
      </c>
      <c r="C918">
        <v>226</v>
      </c>
      <c r="D918">
        <v>-2.1900000000000001E-3</v>
      </c>
      <c r="E918">
        <v>1.33E-3</v>
      </c>
    </row>
    <row r="919" spans="1:5" ht="14.25" customHeight="1">
      <c r="A919" s="140">
        <v>41890</v>
      </c>
      <c r="B919">
        <v>27319.85</v>
      </c>
      <c r="C919">
        <v>226.95</v>
      </c>
      <c r="D919">
        <v>1.0789999999999999E-2</v>
      </c>
      <c r="E919">
        <v>4.1900000000000001E-3</v>
      </c>
    </row>
    <row r="920" spans="1:5" ht="14.25" customHeight="1">
      <c r="A920" s="140">
        <v>41891</v>
      </c>
      <c r="B920">
        <v>27265.32</v>
      </c>
      <c r="C920">
        <v>228.2</v>
      </c>
      <c r="D920">
        <v>-2E-3</v>
      </c>
      <c r="E920">
        <v>5.4900000000000001E-3</v>
      </c>
    </row>
    <row r="921" spans="1:5" ht="14.25" customHeight="1">
      <c r="A921" s="140">
        <v>41892</v>
      </c>
      <c r="B921">
        <v>27057.41</v>
      </c>
      <c r="C921">
        <v>225.75</v>
      </c>
      <c r="D921">
        <v>-7.6499999999999997E-3</v>
      </c>
      <c r="E921">
        <v>-1.0789999999999999E-2</v>
      </c>
    </row>
    <row r="922" spans="1:5" ht="14.25" customHeight="1">
      <c r="A922" s="140">
        <v>41893</v>
      </c>
      <c r="B922">
        <v>26995.87</v>
      </c>
      <c r="C922">
        <v>225.85</v>
      </c>
      <c r="D922">
        <v>-2.2799999999999999E-3</v>
      </c>
      <c r="E922">
        <v>4.4000000000000002E-4</v>
      </c>
    </row>
    <row r="923" spans="1:5" ht="14.25" customHeight="1">
      <c r="A923" s="140">
        <v>41894</v>
      </c>
      <c r="B923">
        <v>27061.040000000001</v>
      </c>
      <c r="C923">
        <v>223.55</v>
      </c>
      <c r="D923">
        <v>2.4099999999999998E-3</v>
      </c>
      <c r="E923">
        <v>-1.0240000000000001E-2</v>
      </c>
    </row>
    <row r="924" spans="1:5" ht="14.25" customHeight="1">
      <c r="A924" s="140">
        <v>41897</v>
      </c>
      <c r="B924">
        <v>26816.560000000001</v>
      </c>
      <c r="C924">
        <v>224.75</v>
      </c>
      <c r="D924">
        <v>-9.0799999999999995E-3</v>
      </c>
      <c r="E924">
        <v>5.3499999999999997E-3</v>
      </c>
    </row>
    <row r="925" spans="1:5" ht="14.25" customHeight="1">
      <c r="A925" s="140">
        <v>41898</v>
      </c>
      <c r="B925">
        <v>26492.51</v>
      </c>
      <c r="C925">
        <v>221.15</v>
      </c>
      <c r="D925">
        <v>-1.2160000000000001E-2</v>
      </c>
      <c r="E925">
        <v>-1.6150000000000001E-2</v>
      </c>
    </row>
    <row r="926" spans="1:5" ht="14.25" customHeight="1">
      <c r="A926" s="140">
        <v>41899</v>
      </c>
      <c r="B926">
        <v>26631.29</v>
      </c>
      <c r="C926">
        <v>221.8</v>
      </c>
      <c r="D926">
        <v>5.2199999999999998E-3</v>
      </c>
      <c r="E926">
        <v>2.9299999999999999E-3</v>
      </c>
    </row>
    <row r="927" spans="1:5" ht="14.25" customHeight="1">
      <c r="A927" s="140">
        <v>41900</v>
      </c>
      <c r="B927">
        <v>27112.21</v>
      </c>
      <c r="C927">
        <v>223</v>
      </c>
      <c r="D927">
        <v>1.7899999999999999E-2</v>
      </c>
      <c r="E927">
        <v>5.4000000000000003E-3</v>
      </c>
    </row>
    <row r="928" spans="1:5" ht="14.25" customHeight="1">
      <c r="A928" s="140">
        <v>41901</v>
      </c>
      <c r="B928">
        <v>27090.42</v>
      </c>
      <c r="C928">
        <v>223.45</v>
      </c>
      <c r="D928">
        <v>-8.0000000000000004E-4</v>
      </c>
      <c r="E928">
        <v>2.0200000000000001E-3</v>
      </c>
    </row>
    <row r="929" spans="1:5" ht="14.25" customHeight="1">
      <c r="A929" s="140">
        <v>41904</v>
      </c>
      <c r="B929">
        <v>27206.74</v>
      </c>
      <c r="C929">
        <v>224.5</v>
      </c>
      <c r="D929">
        <v>4.28E-3</v>
      </c>
      <c r="E929">
        <v>4.6899999999999997E-3</v>
      </c>
    </row>
    <row r="930" spans="1:5" ht="14.25" customHeight="1">
      <c r="A930" s="140">
        <v>41905</v>
      </c>
      <c r="B930">
        <v>26775.69</v>
      </c>
      <c r="C930">
        <v>220.8</v>
      </c>
      <c r="D930">
        <v>-1.5970000000000002E-2</v>
      </c>
      <c r="E930">
        <v>-1.6619999999999999E-2</v>
      </c>
    </row>
    <row r="931" spans="1:5" ht="14.25" customHeight="1">
      <c r="A931" s="140">
        <v>41906</v>
      </c>
      <c r="B931">
        <v>26744.69</v>
      </c>
      <c r="C931">
        <v>224.65</v>
      </c>
      <c r="D931">
        <v>-1.16E-3</v>
      </c>
      <c r="E931">
        <v>1.729E-2</v>
      </c>
    </row>
    <row r="932" spans="1:5" ht="14.25" customHeight="1">
      <c r="A932" s="140">
        <v>41907</v>
      </c>
      <c r="B932">
        <v>26468.36</v>
      </c>
      <c r="C932">
        <v>225.35</v>
      </c>
      <c r="D932">
        <v>-1.039E-2</v>
      </c>
      <c r="E932">
        <v>3.1099999999999999E-3</v>
      </c>
    </row>
    <row r="933" spans="1:5" ht="14.25" customHeight="1">
      <c r="A933" s="140">
        <v>41908</v>
      </c>
      <c r="B933">
        <v>26626.32</v>
      </c>
      <c r="C933">
        <v>223.65</v>
      </c>
      <c r="D933">
        <v>5.9500000000000004E-3</v>
      </c>
      <c r="E933">
        <v>-7.5700000000000003E-3</v>
      </c>
    </row>
    <row r="934" spans="1:5" ht="14.25" customHeight="1">
      <c r="A934" s="140">
        <v>41911</v>
      </c>
      <c r="B934">
        <v>26597.11</v>
      </c>
      <c r="C934">
        <v>220.25</v>
      </c>
      <c r="D934">
        <v>-1.1000000000000001E-3</v>
      </c>
      <c r="E934">
        <v>-1.532E-2</v>
      </c>
    </row>
    <row r="935" spans="1:5" ht="14.25" customHeight="1">
      <c r="A935" s="140">
        <v>41912</v>
      </c>
      <c r="B935">
        <v>26630.51</v>
      </c>
      <c r="C935">
        <v>222.2</v>
      </c>
      <c r="D935">
        <v>1.25E-3</v>
      </c>
      <c r="E935">
        <v>8.8100000000000001E-3</v>
      </c>
    </row>
    <row r="936" spans="1:5" ht="14.25" customHeight="1">
      <c r="A936" s="140">
        <v>41913</v>
      </c>
      <c r="B936">
        <v>26567.99</v>
      </c>
      <c r="C936">
        <v>220.95</v>
      </c>
      <c r="D936">
        <v>-2.3500000000000001E-3</v>
      </c>
      <c r="E936">
        <v>-5.64E-3</v>
      </c>
    </row>
    <row r="937" spans="1:5" ht="14.25" customHeight="1">
      <c r="A937" s="140">
        <v>41919</v>
      </c>
      <c r="B937">
        <v>26271.97</v>
      </c>
      <c r="C937">
        <v>216.8</v>
      </c>
      <c r="D937">
        <v>-1.12E-2</v>
      </c>
      <c r="E937">
        <v>-1.8960000000000001E-2</v>
      </c>
    </row>
    <row r="938" spans="1:5" ht="14.25" customHeight="1">
      <c r="A938" s="140">
        <v>41920</v>
      </c>
      <c r="B938">
        <v>26246.79</v>
      </c>
      <c r="C938">
        <v>216.5</v>
      </c>
      <c r="D938">
        <v>-9.6000000000000002E-4</v>
      </c>
      <c r="E938">
        <v>-1.3799999999999999E-3</v>
      </c>
    </row>
    <row r="939" spans="1:5" ht="14.25" customHeight="1">
      <c r="A939" s="140">
        <v>41921</v>
      </c>
      <c r="B939">
        <v>26637.279999999999</v>
      </c>
      <c r="C939">
        <v>217.1</v>
      </c>
      <c r="D939">
        <v>1.477E-2</v>
      </c>
      <c r="E939">
        <v>2.7699999999999999E-3</v>
      </c>
    </row>
    <row r="940" spans="1:5" ht="14.25" customHeight="1">
      <c r="A940" s="140">
        <v>41922</v>
      </c>
      <c r="B940">
        <v>26297.38</v>
      </c>
      <c r="C940">
        <v>215.05</v>
      </c>
      <c r="D940">
        <v>-1.2840000000000001E-2</v>
      </c>
      <c r="E940">
        <v>-9.4900000000000002E-3</v>
      </c>
    </row>
    <row r="941" spans="1:5" ht="14.25" customHeight="1">
      <c r="A941" s="140">
        <v>41925</v>
      </c>
      <c r="B941">
        <v>26384.07</v>
      </c>
      <c r="C941">
        <v>210.9</v>
      </c>
      <c r="D941">
        <v>3.29E-3</v>
      </c>
      <c r="E941">
        <v>-1.949E-2</v>
      </c>
    </row>
    <row r="942" spans="1:5" ht="14.25" customHeight="1">
      <c r="A942" s="140">
        <v>41926</v>
      </c>
      <c r="B942">
        <v>26349.33</v>
      </c>
      <c r="C942">
        <v>210.2</v>
      </c>
      <c r="D942">
        <v>-1.32E-3</v>
      </c>
      <c r="E942">
        <v>-3.32E-3</v>
      </c>
    </row>
    <row r="943" spans="1:5" ht="14.25" customHeight="1">
      <c r="A943" s="140">
        <v>41928</v>
      </c>
      <c r="B943">
        <v>25999.34</v>
      </c>
      <c r="C943">
        <v>207.55</v>
      </c>
      <c r="D943">
        <v>-1.337E-2</v>
      </c>
      <c r="E943">
        <v>-1.269E-2</v>
      </c>
    </row>
    <row r="944" spans="1:5" ht="14.25" customHeight="1">
      <c r="A944" s="140">
        <v>41929</v>
      </c>
      <c r="B944">
        <v>26108.53</v>
      </c>
      <c r="C944">
        <v>206.05</v>
      </c>
      <c r="D944">
        <v>4.1900000000000001E-3</v>
      </c>
      <c r="E944">
        <v>-7.2500000000000004E-3</v>
      </c>
    </row>
    <row r="945" spans="1:5" ht="14.25" customHeight="1">
      <c r="A945" s="140">
        <v>41932</v>
      </c>
      <c r="B945">
        <v>26429.85</v>
      </c>
      <c r="C945">
        <v>205.7</v>
      </c>
      <c r="D945">
        <v>1.223E-2</v>
      </c>
      <c r="E945">
        <v>-1.6999999999999999E-3</v>
      </c>
    </row>
    <row r="946" spans="1:5" ht="14.25" customHeight="1">
      <c r="A946" s="140">
        <v>41933</v>
      </c>
      <c r="B946">
        <v>26575.65</v>
      </c>
      <c r="C946">
        <v>209.3</v>
      </c>
      <c r="D946">
        <v>5.4999999999999997E-3</v>
      </c>
      <c r="E946">
        <v>1.7350000000000001E-2</v>
      </c>
    </row>
    <row r="947" spans="1:5" ht="14.25" customHeight="1">
      <c r="A947" s="140">
        <v>41934</v>
      </c>
      <c r="B947">
        <v>26787.23</v>
      </c>
      <c r="C947">
        <v>214.9</v>
      </c>
      <c r="D947">
        <v>7.9299999999999995E-3</v>
      </c>
      <c r="E947">
        <v>2.64E-2</v>
      </c>
    </row>
    <row r="948" spans="1:5" ht="14.25" customHeight="1">
      <c r="A948" s="140">
        <v>41935</v>
      </c>
      <c r="B948">
        <v>26851.05</v>
      </c>
      <c r="C948">
        <v>215.8</v>
      </c>
      <c r="D948">
        <v>2.3800000000000002E-3</v>
      </c>
      <c r="E948">
        <v>4.1799999999999997E-3</v>
      </c>
    </row>
    <row r="949" spans="1:5" ht="14.25" customHeight="1">
      <c r="A949" s="140">
        <v>41939</v>
      </c>
      <c r="B949">
        <v>26752.9</v>
      </c>
      <c r="C949">
        <v>209.2</v>
      </c>
      <c r="D949">
        <v>-3.6600000000000001E-3</v>
      </c>
      <c r="E949">
        <v>-3.1060000000000001E-2</v>
      </c>
    </row>
    <row r="950" spans="1:5" ht="14.25" customHeight="1">
      <c r="A950" s="140">
        <v>41940</v>
      </c>
      <c r="B950">
        <v>26880.82</v>
      </c>
      <c r="C950">
        <v>213.3</v>
      </c>
      <c r="D950">
        <v>4.7699999999999999E-3</v>
      </c>
      <c r="E950">
        <v>1.941E-2</v>
      </c>
    </row>
    <row r="951" spans="1:5" ht="14.25" customHeight="1">
      <c r="A951" s="140">
        <v>41941</v>
      </c>
      <c r="B951">
        <v>27098.17</v>
      </c>
      <c r="C951">
        <v>217.95</v>
      </c>
      <c r="D951">
        <v>8.0499999999999999E-3</v>
      </c>
      <c r="E951">
        <v>2.1569999999999999E-2</v>
      </c>
    </row>
    <row r="952" spans="1:5" ht="14.25" customHeight="1">
      <c r="A952" s="140">
        <v>41942</v>
      </c>
      <c r="B952">
        <v>27346.33</v>
      </c>
      <c r="C952">
        <v>220.85</v>
      </c>
      <c r="D952">
        <v>9.1199999999999996E-3</v>
      </c>
      <c r="E952">
        <v>1.3220000000000001E-2</v>
      </c>
    </row>
    <row r="953" spans="1:5" ht="14.25" customHeight="1">
      <c r="A953" s="140">
        <v>41943</v>
      </c>
      <c r="B953">
        <v>27865.83</v>
      </c>
      <c r="C953">
        <v>225.9</v>
      </c>
      <c r="D953">
        <v>1.882E-2</v>
      </c>
      <c r="E953">
        <v>2.2610000000000002E-2</v>
      </c>
    </row>
    <row r="954" spans="1:5" ht="14.25" customHeight="1">
      <c r="A954" s="140">
        <v>41946</v>
      </c>
      <c r="B954">
        <v>27860.38</v>
      </c>
      <c r="C954">
        <v>230</v>
      </c>
      <c r="D954">
        <v>-2.0000000000000001E-4</v>
      </c>
      <c r="E954">
        <v>1.7989999999999999E-2</v>
      </c>
    </row>
    <row r="955" spans="1:5" ht="14.25" customHeight="1">
      <c r="A955" s="140">
        <v>41948</v>
      </c>
      <c r="B955">
        <v>27915.88</v>
      </c>
      <c r="C955">
        <v>225.85</v>
      </c>
      <c r="D955">
        <v>1.99E-3</v>
      </c>
      <c r="E955">
        <v>-1.821E-2</v>
      </c>
    </row>
    <row r="956" spans="1:5" ht="14.25" customHeight="1">
      <c r="A956" s="140">
        <v>41950</v>
      </c>
      <c r="B956">
        <v>27868.63</v>
      </c>
      <c r="C956">
        <v>227.6</v>
      </c>
      <c r="D956">
        <v>-1.6900000000000001E-3</v>
      </c>
      <c r="E956">
        <v>7.7200000000000003E-3</v>
      </c>
    </row>
    <row r="957" spans="1:5" ht="14.25" customHeight="1">
      <c r="A957" s="140">
        <v>41953</v>
      </c>
      <c r="B957">
        <v>27874.73</v>
      </c>
      <c r="C957">
        <v>226.7</v>
      </c>
      <c r="D957">
        <v>2.2000000000000001E-4</v>
      </c>
      <c r="E957">
        <v>-3.96E-3</v>
      </c>
    </row>
    <row r="958" spans="1:5" ht="14.25" customHeight="1">
      <c r="A958" s="140">
        <v>41954</v>
      </c>
      <c r="B958">
        <v>27910.06</v>
      </c>
      <c r="C958">
        <v>228.45</v>
      </c>
      <c r="D958">
        <v>1.2700000000000001E-3</v>
      </c>
      <c r="E958">
        <v>7.6899999999999998E-3</v>
      </c>
    </row>
    <row r="959" spans="1:5" ht="14.25" customHeight="1">
      <c r="A959" s="140">
        <v>41955</v>
      </c>
      <c r="B959">
        <v>28008.9</v>
      </c>
      <c r="C959">
        <v>233.65</v>
      </c>
      <c r="D959">
        <v>3.5400000000000002E-3</v>
      </c>
      <c r="E959">
        <v>2.2509999999999999E-2</v>
      </c>
    </row>
    <row r="960" spans="1:5" ht="14.25" customHeight="1">
      <c r="A960" s="140">
        <v>41956</v>
      </c>
      <c r="B960">
        <v>27940.639999999999</v>
      </c>
      <c r="C960">
        <v>231.8</v>
      </c>
      <c r="D960">
        <v>-2.4399999999999999E-3</v>
      </c>
      <c r="E960">
        <v>-7.9500000000000005E-3</v>
      </c>
    </row>
    <row r="961" spans="1:5" ht="14.25" customHeight="1">
      <c r="A961" s="140">
        <v>41957</v>
      </c>
      <c r="B961">
        <v>28046.66</v>
      </c>
      <c r="C961">
        <v>231.1</v>
      </c>
      <c r="D961">
        <v>3.79E-3</v>
      </c>
      <c r="E961">
        <v>-3.0200000000000001E-3</v>
      </c>
    </row>
    <row r="962" spans="1:5" ht="14.25" customHeight="1">
      <c r="A962" s="140">
        <v>41960</v>
      </c>
      <c r="B962">
        <v>28177.88</v>
      </c>
      <c r="C962">
        <v>235.65</v>
      </c>
      <c r="D962">
        <v>4.6699999999999997E-3</v>
      </c>
      <c r="E962">
        <v>1.95E-2</v>
      </c>
    </row>
    <row r="963" spans="1:5" ht="14.25" customHeight="1">
      <c r="A963" s="140">
        <v>41961</v>
      </c>
      <c r="B963">
        <v>28163.29</v>
      </c>
      <c r="C963">
        <v>232.2</v>
      </c>
      <c r="D963">
        <v>-5.1999999999999995E-4</v>
      </c>
      <c r="E963">
        <v>-1.4749999999999999E-2</v>
      </c>
    </row>
    <row r="964" spans="1:5" ht="14.25" customHeight="1">
      <c r="A964" s="140">
        <v>41962</v>
      </c>
      <c r="B964">
        <v>28032.85</v>
      </c>
      <c r="C964">
        <v>232.1</v>
      </c>
      <c r="D964">
        <v>-4.64E-3</v>
      </c>
      <c r="E964">
        <v>-4.2999999999999999E-4</v>
      </c>
    </row>
    <row r="965" spans="1:5" ht="14.25" customHeight="1">
      <c r="A965" s="140">
        <v>41963</v>
      </c>
      <c r="B965">
        <v>28067.56</v>
      </c>
      <c r="C965">
        <v>235.2</v>
      </c>
      <c r="D965">
        <v>1.24E-3</v>
      </c>
      <c r="E965">
        <v>1.3270000000000001E-2</v>
      </c>
    </row>
    <row r="966" spans="1:5" ht="14.25" customHeight="1">
      <c r="A966" s="140">
        <v>41964</v>
      </c>
      <c r="B966">
        <v>28334.63</v>
      </c>
      <c r="C966">
        <v>230.95</v>
      </c>
      <c r="D966">
        <v>9.4699999999999993E-3</v>
      </c>
      <c r="E966">
        <v>-1.823E-2</v>
      </c>
    </row>
    <row r="967" spans="1:5" ht="14.25" customHeight="1">
      <c r="A967" s="140">
        <v>41967</v>
      </c>
      <c r="B967">
        <v>28499.54</v>
      </c>
      <c r="C967">
        <v>235.85</v>
      </c>
      <c r="D967">
        <v>5.7999999999999996E-3</v>
      </c>
      <c r="E967">
        <v>2.0990000000000002E-2</v>
      </c>
    </row>
    <row r="968" spans="1:5" ht="14.25" customHeight="1">
      <c r="A968" s="140">
        <v>41968</v>
      </c>
      <c r="B968">
        <v>28338.05</v>
      </c>
      <c r="C968">
        <v>241.95</v>
      </c>
      <c r="D968">
        <v>-5.6800000000000002E-3</v>
      </c>
      <c r="E968">
        <v>2.554E-2</v>
      </c>
    </row>
    <row r="969" spans="1:5" ht="14.25" customHeight="1">
      <c r="A969" s="140">
        <v>41969</v>
      </c>
      <c r="B969">
        <v>28386.19</v>
      </c>
      <c r="C969">
        <v>240.5</v>
      </c>
      <c r="D969">
        <v>1.6999999999999999E-3</v>
      </c>
      <c r="E969">
        <v>-6.0099999999999997E-3</v>
      </c>
    </row>
    <row r="970" spans="1:5" ht="14.25" customHeight="1">
      <c r="A970" s="140">
        <v>41970</v>
      </c>
      <c r="B970">
        <v>28438.91</v>
      </c>
      <c r="C970">
        <v>244.5</v>
      </c>
      <c r="D970">
        <v>1.8600000000000001E-3</v>
      </c>
      <c r="E970">
        <v>1.6500000000000001E-2</v>
      </c>
    </row>
    <row r="971" spans="1:5" ht="14.25" customHeight="1">
      <c r="A971" s="140">
        <v>41971</v>
      </c>
      <c r="B971">
        <v>28693.99</v>
      </c>
      <c r="C971">
        <v>241.1</v>
      </c>
      <c r="D971">
        <v>8.9300000000000004E-3</v>
      </c>
      <c r="E971">
        <v>-1.4E-2</v>
      </c>
    </row>
    <row r="972" spans="1:5" ht="14.25" customHeight="1">
      <c r="A972" s="140">
        <v>41974</v>
      </c>
      <c r="B972">
        <v>28559.62</v>
      </c>
      <c r="C972">
        <v>245.4</v>
      </c>
      <c r="D972">
        <v>-4.6899999999999997E-3</v>
      </c>
      <c r="E972">
        <v>1.7680000000000001E-2</v>
      </c>
    </row>
    <row r="973" spans="1:5" ht="14.25" customHeight="1">
      <c r="A973" s="140">
        <v>41975</v>
      </c>
      <c r="B973">
        <v>28444.01</v>
      </c>
      <c r="C973">
        <v>242.5</v>
      </c>
      <c r="D973">
        <v>-4.0600000000000002E-3</v>
      </c>
      <c r="E973">
        <v>-1.189E-2</v>
      </c>
    </row>
    <row r="974" spans="1:5" ht="14.25" customHeight="1">
      <c r="A974" s="140">
        <v>41976</v>
      </c>
      <c r="B974">
        <v>28442.71</v>
      </c>
      <c r="C974">
        <v>244.45</v>
      </c>
      <c r="D974">
        <v>-5.0000000000000002E-5</v>
      </c>
      <c r="E974">
        <v>8.0099999999999998E-3</v>
      </c>
    </row>
    <row r="975" spans="1:5" ht="14.25" customHeight="1">
      <c r="A975" s="140">
        <v>41977</v>
      </c>
      <c r="B975">
        <v>28562.82</v>
      </c>
      <c r="C975">
        <v>244.8</v>
      </c>
      <c r="D975">
        <v>4.2100000000000002E-3</v>
      </c>
      <c r="E975">
        <v>1.4300000000000001E-3</v>
      </c>
    </row>
    <row r="976" spans="1:5" ht="14.25" customHeight="1">
      <c r="A976" s="140">
        <v>41978</v>
      </c>
      <c r="B976">
        <v>28458.1</v>
      </c>
      <c r="C976">
        <v>243.55</v>
      </c>
      <c r="D976">
        <v>-3.6700000000000001E-3</v>
      </c>
      <c r="E976">
        <v>-5.1200000000000004E-3</v>
      </c>
    </row>
    <row r="977" spans="1:5" ht="14.25" customHeight="1">
      <c r="A977" s="140">
        <v>41981</v>
      </c>
      <c r="B977">
        <v>28119.4</v>
      </c>
      <c r="C977">
        <v>240.55</v>
      </c>
      <c r="D977">
        <v>-1.197E-2</v>
      </c>
      <c r="E977">
        <v>-1.239E-2</v>
      </c>
    </row>
    <row r="978" spans="1:5" ht="14.25" customHeight="1">
      <c r="A978" s="140">
        <v>41982</v>
      </c>
      <c r="B978">
        <v>27797.01</v>
      </c>
      <c r="C978">
        <v>239.2</v>
      </c>
      <c r="D978">
        <v>-1.153E-2</v>
      </c>
      <c r="E978">
        <v>-5.6299999999999996E-3</v>
      </c>
    </row>
    <row r="979" spans="1:5" ht="14.25" customHeight="1">
      <c r="A979" s="140">
        <v>41983</v>
      </c>
      <c r="B979">
        <v>27831.1</v>
      </c>
      <c r="C979">
        <v>238.55</v>
      </c>
      <c r="D979">
        <v>1.23E-3</v>
      </c>
      <c r="E979">
        <v>-2.7200000000000002E-3</v>
      </c>
    </row>
    <row r="980" spans="1:5" ht="14.25" customHeight="1">
      <c r="A980" s="140">
        <v>41984</v>
      </c>
      <c r="B980">
        <v>27602.01</v>
      </c>
      <c r="C980">
        <v>235.8</v>
      </c>
      <c r="D980">
        <v>-8.2699999999999996E-3</v>
      </c>
      <c r="E980">
        <v>-1.159E-2</v>
      </c>
    </row>
    <row r="981" spans="1:5" ht="14.25" customHeight="1">
      <c r="A981" s="140">
        <v>41985</v>
      </c>
      <c r="B981">
        <v>27350.68</v>
      </c>
      <c r="C981">
        <v>235</v>
      </c>
      <c r="D981">
        <v>-9.1500000000000001E-3</v>
      </c>
      <c r="E981">
        <v>-3.3999999999999998E-3</v>
      </c>
    </row>
    <row r="982" spans="1:5" ht="14.25" customHeight="1">
      <c r="A982" s="140">
        <v>41988</v>
      </c>
      <c r="B982">
        <v>27319.56</v>
      </c>
      <c r="C982">
        <v>230.85</v>
      </c>
      <c r="D982">
        <v>-1.14E-3</v>
      </c>
      <c r="E982">
        <v>-1.7819999999999999E-2</v>
      </c>
    </row>
    <row r="983" spans="1:5" ht="14.25" customHeight="1">
      <c r="A983" s="140">
        <v>41989</v>
      </c>
      <c r="B983">
        <v>26781.439999999999</v>
      </c>
      <c r="C983">
        <v>223.5</v>
      </c>
      <c r="D983">
        <v>-1.9890000000000001E-2</v>
      </c>
      <c r="E983">
        <v>-3.236E-2</v>
      </c>
    </row>
    <row r="984" spans="1:5" ht="14.25" customHeight="1">
      <c r="A984" s="140">
        <v>41990</v>
      </c>
      <c r="B984">
        <v>26710.13</v>
      </c>
      <c r="C984">
        <v>219.25</v>
      </c>
      <c r="D984">
        <v>-2.6700000000000001E-3</v>
      </c>
      <c r="E984">
        <v>-1.9199999999999998E-2</v>
      </c>
    </row>
    <row r="985" spans="1:5" ht="14.25" customHeight="1">
      <c r="A985" s="140">
        <v>41991</v>
      </c>
      <c r="B985">
        <v>27126.57</v>
      </c>
      <c r="C985">
        <v>231.15</v>
      </c>
      <c r="D985">
        <v>1.5469999999999999E-2</v>
      </c>
      <c r="E985">
        <v>5.2850000000000001E-2</v>
      </c>
    </row>
    <row r="986" spans="1:5" ht="14.25" customHeight="1">
      <c r="A986" s="140">
        <v>41992</v>
      </c>
      <c r="B986">
        <v>27371.84</v>
      </c>
      <c r="C986">
        <v>227.85</v>
      </c>
      <c r="D986">
        <v>8.9999999999999993E-3</v>
      </c>
      <c r="E986">
        <v>-1.438E-2</v>
      </c>
    </row>
    <row r="987" spans="1:5" ht="14.25" customHeight="1">
      <c r="A987" s="140">
        <v>41995</v>
      </c>
      <c r="B987">
        <v>27701.79</v>
      </c>
      <c r="C987">
        <v>230.85</v>
      </c>
      <c r="D987">
        <v>1.1979999999999999E-2</v>
      </c>
      <c r="E987">
        <v>1.308E-2</v>
      </c>
    </row>
    <row r="988" spans="1:5" ht="14.25" customHeight="1">
      <c r="A988" s="140">
        <v>41996</v>
      </c>
      <c r="B988">
        <v>27506.46</v>
      </c>
      <c r="C988">
        <v>232.4</v>
      </c>
      <c r="D988">
        <v>-7.0800000000000004E-3</v>
      </c>
      <c r="E988">
        <v>6.6899999999999998E-3</v>
      </c>
    </row>
    <row r="989" spans="1:5" ht="14.25" customHeight="1">
      <c r="A989" s="140">
        <v>41997</v>
      </c>
      <c r="B989">
        <v>27208.61</v>
      </c>
      <c r="C989">
        <v>229.05</v>
      </c>
      <c r="D989">
        <v>-1.089E-2</v>
      </c>
      <c r="E989">
        <v>-1.452E-2</v>
      </c>
    </row>
    <row r="990" spans="1:5" ht="14.25" customHeight="1">
      <c r="A990" s="140">
        <v>41999</v>
      </c>
      <c r="B990">
        <v>27241.78</v>
      </c>
      <c r="C990">
        <v>229.9</v>
      </c>
      <c r="D990">
        <v>1.2199999999999999E-3</v>
      </c>
      <c r="E990">
        <v>3.7000000000000002E-3</v>
      </c>
    </row>
    <row r="991" spans="1:5" ht="14.25" customHeight="1">
      <c r="A991" s="140">
        <v>42002</v>
      </c>
      <c r="B991">
        <v>27395.73</v>
      </c>
      <c r="C991">
        <v>228.65</v>
      </c>
      <c r="D991">
        <v>5.64E-3</v>
      </c>
      <c r="E991">
        <v>-5.45E-3</v>
      </c>
    </row>
    <row r="992" spans="1:5" ht="14.25" customHeight="1">
      <c r="A992" s="140">
        <v>42003</v>
      </c>
      <c r="B992">
        <v>27403.54</v>
      </c>
      <c r="C992">
        <v>232.3</v>
      </c>
      <c r="D992">
        <v>2.9E-4</v>
      </c>
      <c r="E992">
        <v>1.584E-2</v>
      </c>
    </row>
    <row r="993" spans="1:5" ht="14.25" customHeight="1">
      <c r="A993" s="140">
        <v>42004</v>
      </c>
      <c r="B993">
        <v>27499.42</v>
      </c>
      <c r="C993">
        <v>233.55</v>
      </c>
      <c r="D993">
        <v>3.49E-3</v>
      </c>
      <c r="E993">
        <v>5.3699999999999998E-3</v>
      </c>
    </row>
    <row r="994" spans="1:5" ht="14.25" customHeight="1">
      <c r="A994" s="140">
        <v>42005</v>
      </c>
      <c r="B994">
        <v>27507.54</v>
      </c>
      <c r="C994">
        <v>232.2</v>
      </c>
      <c r="D994">
        <v>2.9999999999999997E-4</v>
      </c>
      <c r="E994">
        <v>-5.7999999999999996E-3</v>
      </c>
    </row>
    <row r="995" spans="1:5" ht="14.25" customHeight="1">
      <c r="A995" s="140">
        <v>42006</v>
      </c>
      <c r="B995">
        <v>27887.9</v>
      </c>
      <c r="C995">
        <v>235</v>
      </c>
      <c r="D995">
        <v>1.3729999999999999E-2</v>
      </c>
      <c r="E995">
        <v>1.1990000000000001E-2</v>
      </c>
    </row>
    <row r="996" spans="1:5" ht="14.25" customHeight="1">
      <c r="A996" s="140">
        <v>42009</v>
      </c>
      <c r="B996">
        <v>27842.32</v>
      </c>
      <c r="C996">
        <v>232.35</v>
      </c>
      <c r="D996">
        <v>-1.64E-3</v>
      </c>
      <c r="E996">
        <v>-1.1339999999999999E-2</v>
      </c>
    </row>
    <row r="997" spans="1:5" ht="14.25" customHeight="1">
      <c r="A997" s="140">
        <v>42010</v>
      </c>
      <c r="B997">
        <v>26987.46</v>
      </c>
      <c r="C997">
        <v>224.5</v>
      </c>
      <c r="D997">
        <v>-3.1179999999999999E-2</v>
      </c>
      <c r="E997">
        <v>-3.4369999999999998E-2</v>
      </c>
    </row>
    <row r="998" spans="1:5" ht="14.25" customHeight="1">
      <c r="A998" s="140">
        <v>42011</v>
      </c>
      <c r="B998">
        <v>26908.82</v>
      </c>
      <c r="C998">
        <v>228.05</v>
      </c>
      <c r="D998">
        <v>-2.9199999999999999E-3</v>
      </c>
      <c r="E998">
        <v>1.5689999999999999E-2</v>
      </c>
    </row>
    <row r="999" spans="1:5" ht="14.25" customHeight="1">
      <c r="A999" s="140">
        <v>42012</v>
      </c>
      <c r="B999">
        <v>27274.71</v>
      </c>
      <c r="C999">
        <v>230.15</v>
      </c>
      <c r="D999">
        <v>1.3509999999999999E-2</v>
      </c>
      <c r="E999">
        <v>9.1699999999999993E-3</v>
      </c>
    </row>
    <row r="1000" spans="1:5" ht="14.25" customHeight="1">
      <c r="A1000" s="140">
        <v>42013</v>
      </c>
      <c r="B1000">
        <v>27458.38</v>
      </c>
      <c r="C1000">
        <v>229.75</v>
      </c>
      <c r="D1000">
        <v>6.7099999999999998E-3</v>
      </c>
      <c r="E1000">
        <v>-1.74E-3</v>
      </c>
    </row>
    <row r="1001" spans="1:5" ht="14.25" customHeight="1">
      <c r="A1001" s="140">
        <v>42016</v>
      </c>
      <c r="B1001">
        <v>27585.27</v>
      </c>
      <c r="C1001">
        <v>234.8</v>
      </c>
      <c r="D1001">
        <v>4.6100000000000004E-3</v>
      </c>
      <c r="E1001">
        <v>2.1739999999999999E-2</v>
      </c>
    </row>
    <row r="1002" spans="1:5" ht="14.25" customHeight="1">
      <c r="A1002" s="140">
        <v>42017</v>
      </c>
      <c r="B1002">
        <v>27425.73</v>
      </c>
      <c r="C1002">
        <v>235.85</v>
      </c>
      <c r="D1002">
        <v>-5.7999999999999996E-3</v>
      </c>
      <c r="E1002">
        <v>4.4600000000000004E-3</v>
      </c>
    </row>
    <row r="1003" spans="1:5" ht="14.25" customHeight="1">
      <c r="A1003" s="140">
        <v>42018</v>
      </c>
      <c r="B1003">
        <v>27346.82</v>
      </c>
      <c r="C1003">
        <v>250.8</v>
      </c>
      <c r="D1003">
        <v>-2.8800000000000002E-3</v>
      </c>
      <c r="E1003">
        <v>6.1460000000000001E-2</v>
      </c>
    </row>
    <row r="1004" spans="1:5" ht="14.25" customHeight="1">
      <c r="A1004" s="140">
        <v>42019</v>
      </c>
      <c r="B1004">
        <v>28075.55</v>
      </c>
      <c r="C1004">
        <v>249.35</v>
      </c>
      <c r="D1004">
        <v>2.63E-2</v>
      </c>
      <c r="E1004">
        <v>-5.7999999999999996E-3</v>
      </c>
    </row>
    <row r="1005" spans="1:5" ht="14.25" customHeight="1">
      <c r="A1005" s="140">
        <v>42020</v>
      </c>
      <c r="B1005">
        <v>28121.89</v>
      </c>
      <c r="C1005">
        <v>251.7</v>
      </c>
      <c r="D1005">
        <v>1.65E-3</v>
      </c>
      <c r="E1005">
        <v>9.3799999999999994E-3</v>
      </c>
    </row>
    <row r="1006" spans="1:5" ht="14.25" customHeight="1">
      <c r="A1006" s="140">
        <v>42023</v>
      </c>
      <c r="B1006">
        <v>28262.01</v>
      </c>
      <c r="C1006">
        <v>257.45</v>
      </c>
      <c r="D1006">
        <v>4.9699999999999996E-3</v>
      </c>
      <c r="E1006">
        <v>2.2589999999999999E-2</v>
      </c>
    </row>
    <row r="1007" spans="1:5" ht="14.25" customHeight="1">
      <c r="A1007" s="140">
        <v>42024</v>
      </c>
      <c r="B1007">
        <v>28784.67</v>
      </c>
      <c r="C1007">
        <v>254.1</v>
      </c>
      <c r="D1007">
        <v>1.8319999999999999E-2</v>
      </c>
      <c r="E1007">
        <v>-1.3100000000000001E-2</v>
      </c>
    </row>
    <row r="1008" spans="1:5" ht="14.25" customHeight="1">
      <c r="A1008" s="140">
        <v>42025</v>
      </c>
      <c r="B1008">
        <v>28888.86</v>
      </c>
      <c r="C1008">
        <v>250.9</v>
      </c>
      <c r="D1008">
        <v>3.6099999999999999E-3</v>
      </c>
      <c r="E1008">
        <v>-1.2670000000000001E-2</v>
      </c>
    </row>
    <row r="1009" spans="1:5" ht="14.25" customHeight="1">
      <c r="A1009" s="140">
        <v>42026</v>
      </c>
      <c r="B1009">
        <v>29006.02</v>
      </c>
      <c r="C1009">
        <v>250.6</v>
      </c>
      <c r="D1009">
        <v>4.0499999999999998E-3</v>
      </c>
      <c r="E1009">
        <v>-1.1999999999999999E-3</v>
      </c>
    </row>
    <row r="1010" spans="1:5" ht="14.25" customHeight="1">
      <c r="A1010" s="140">
        <v>42027</v>
      </c>
      <c r="B1010">
        <v>29278.84</v>
      </c>
      <c r="C1010">
        <v>249.55</v>
      </c>
      <c r="D1010">
        <v>9.3600000000000003E-3</v>
      </c>
      <c r="E1010">
        <v>-4.1999999999999997E-3</v>
      </c>
    </row>
    <row r="1011" spans="1:5" ht="14.25" customHeight="1">
      <c r="A1011" s="140">
        <v>42031</v>
      </c>
      <c r="B1011">
        <v>29571.040000000001</v>
      </c>
      <c r="C1011">
        <v>248.65</v>
      </c>
      <c r="D1011">
        <v>9.9299999999999996E-3</v>
      </c>
      <c r="E1011">
        <v>-3.6099999999999999E-3</v>
      </c>
    </row>
    <row r="1012" spans="1:5" ht="14.25" customHeight="1">
      <c r="A1012" s="140">
        <v>42032</v>
      </c>
      <c r="B1012">
        <v>29559.18</v>
      </c>
      <c r="C1012">
        <v>251.9</v>
      </c>
      <c r="D1012">
        <v>-4.0000000000000002E-4</v>
      </c>
      <c r="E1012">
        <v>1.299E-2</v>
      </c>
    </row>
    <row r="1013" spans="1:5" ht="14.25" customHeight="1">
      <c r="A1013" s="140">
        <v>42033</v>
      </c>
      <c r="B1013">
        <v>29681.77</v>
      </c>
      <c r="C1013">
        <v>258.3</v>
      </c>
      <c r="D1013">
        <v>4.1399999999999996E-3</v>
      </c>
      <c r="E1013">
        <v>2.5090000000000001E-2</v>
      </c>
    </row>
    <row r="1014" spans="1:5" ht="14.25" customHeight="1">
      <c r="A1014" s="140">
        <v>42034</v>
      </c>
      <c r="B1014">
        <v>29182.95</v>
      </c>
      <c r="C1014">
        <v>256.14999999999998</v>
      </c>
      <c r="D1014">
        <v>-1.695E-2</v>
      </c>
      <c r="E1014">
        <v>-8.3599999999999994E-3</v>
      </c>
    </row>
    <row r="1015" spans="1:5" ht="14.25" customHeight="1">
      <c r="A1015" s="140">
        <v>42037</v>
      </c>
      <c r="B1015">
        <v>29122.27</v>
      </c>
      <c r="C1015">
        <v>261.39999999999998</v>
      </c>
      <c r="D1015">
        <v>-2.0799999999999998E-3</v>
      </c>
      <c r="E1015">
        <v>2.0289999999999999E-2</v>
      </c>
    </row>
    <row r="1016" spans="1:5" ht="14.25" customHeight="1">
      <c r="A1016" s="140">
        <v>42038</v>
      </c>
      <c r="B1016">
        <v>29000.14</v>
      </c>
      <c r="C1016">
        <v>265.8</v>
      </c>
      <c r="D1016">
        <v>-4.1999999999999997E-3</v>
      </c>
      <c r="E1016">
        <v>1.669E-2</v>
      </c>
    </row>
    <row r="1017" spans="1:5" ht="14.25" customHeight="1">
      <c r="A1017" s="140">
        <v>42039</v>
      </c>
      <c r="B1017">
        <v>28883.11</v>
      </c>
      <c r="C1017">
        <v>267.3</v>
      </c>
      <c r="D1017">
        <v>-4.0400000000000002E-3</v>
      </c>
      <c r="E1017">
        <v>5.6299999999999996E-3</v>
      </c>
    </row>
    <row r="1018" spans="1:5" ht="14.25" customHeight="1">
      <c r="A1018" s="140">
        <v>42040</v>
      </c>
      <c r="B1018">
        <v>28850.97</v>
      </c>
      <c r="C1018">
        <v>266.8</v>
      </c>
      <c r="D1018">
        <v>-1.1100000000000001E-3</v>
      </c>
      <c r="E1018">
        <v>-1.8699999999999999E-3</v>
      </c>
    </row>
    <row r="1019" spans="1:5" ht="14.25" customHeight="1">
      <c r="A1019" s="140">
        <v>42041</v>
      </c>
      <c r="B1019">
        <v>28717.91</v>
      </c>
      <c r="C1019">
        <v>272.39999999999998</v>
      </c>
      <c r="D1019">
        <v>-4.62E-3</v>
      </c>
      <c r="E1019">
        <v>2.077E-2</v>
      </c>
    </row>
    <row r="1020" spans="1:5" ht="14.25" customHeight="1">
      <c r="A1020" s="140">
        <v>42044</v>
      </c>
      <c r="B1020">
        <v>28227.39</v>
      </c>
      <c r="C1020">
        <v>261</v>
      </c>
      <c r="D1020">
        <v>-1.7229999999999999E-2</v>
      </c>
      <c r="E1020">
        <v>-4.2750000000000003E-2</v>
      </c>
    </row>
    <row r="1021" spans="1:5" ht="14.25" customHeight="1">
      <c r="A1021" s="140">
        <v>42045</v>
      </c>
      <c r="B1021">
        <v>28355.62</v>
      </c>
      <c r="C1021">
        <v>270.45</v>
      </c>
      <c r="D1021">
        <v>4.5300000000000002E-3</v>
      </c>
      <c r="E1021">
        <v>3.5569999999999997E-2</v>
      </c>
    </row>
    <row r="1022" spans="1:5" ht="14.25" customHeight="1">
      <c r="A1022" s="140">
        <v>42046</v>
      </c>
      <c r="B1022">
        <v>28533.97</v>
      </c>
      <c r="C1022">
        <v>271.95</v>
      </c>
      <c r="D1022">
        <v>6.2700000000000004E-3</v>
      </c>
      <c r="E1022">
        <v>5.5300000000000002E-3</v>
      </c>
    </row>
    <row r="1023" spans="1:5" ht="14.25" customHeight="1">
      <c r="A1023" s="140">
        <v>42047</v>
      </c>
      <c r="B1023">
        <v>28805.1</v>
      </c>
      <c r="C1023">
        <v>267.3</v>
      </c>
      <c r="D1023">
        <v>9.4599999999999997E-3</v>
      </c>
      <c r="E1023">
        <v>-1.7250000000000001E-2</v>
      </c>
    </row>
    <row r="1024" spans="1:5" ht="14.25" customHeight="1">
      <c r="A1024" s="140">
        <v>42048</v>
      </c>
      <c r="B1024">
        <v>29094.93</v>
      </c>
      <c r="C1024">
        <v>272.05</v>
      </c>
      <c r="D1024">
        <v>1.001E-2</v>
      </c>
      <c r="E1024">
        <v>1.7610000000000001E-2</v>
      </c>
    </row>
    <row r="1025" spans="1:5" ht="14.25" customHeight="1">
      <c r="A1025" s="140">
        <v>42051</v>
      </c>
      <c r="B1025">
        <v>29135.88</v>
      </c>
      <c r="C1025">
        <v>266.7</v>
      </c>
      <c r="D1025">
        <v>1.41E-3</v>
      </c>
      <c r="E1025">
        <v>-1.9859999999999999E-2</v>
      </c>
    </row>
    <row r="1026" spans="1:5" ht="14.25" customHeight="1">
      <c r="A1026" s="140">
        <v>42053</v>
      </c>
      <c r="B1026">
        <v>29320.26</v>
      </c>
      <c r="C1026">
        <v>268.85000000000002</v>
      </c>
      <c r="D1026">
        <v>6.3099999999999996E-3</v>
      </c>
      <c r="E1026">
        <v>8.0300000000000007E-3</v>
      </c>
    </row>
    <row r="1027" spans="1:5" ht="14.25" customHeight="1">
      <c r="A1027" s="140">
        <v>42054</v>
      </c>
      <c r="B1027">
        <v>29462.27</v>
      </c>
      <c r="C1027">
        <v>266.95</v>
      </c>
      <c r="D1027">
        <v>4.8300000000000001E-3</v>
      </c>
      <c r="E1027">
        <v>-7.0899999999999999E-3</v>
      </c>
    </row>
    <row r="1028" spans="1:5" ht="14.25" customHeight="1">
      <c r="A1028" s="140">
        <v>42055</v>
      </c>
      <c r="B1028">
        <v>29231.41</v>
      </c>
      <c r="C1028">
        <v>265.7</v>
      </c>
      <c r="D1028">
        <v>-7.8700000000000003E-3</v>
      </c>
      <c r="E1028">
        <v>-4.6899999999999997E-3</v>
      </c>
    </row>
    <row r="1029" spans="1:5" ht="14.25" customHeight="1">
      <c r="A1029" s="140">
        <v>42058</v>
      </c>
      <c r="B1029">
        <v>28975.11</v>
      </c>
      <c r="C1029">
        <v>265.55</v>
      </c>
      <c r="D1029">
        <v>-8.8100000000000001E-3</v>
      </c>
      <c r="E1029">
        <v>-5.5999999999999995E-4</v>
      </c>
    </row>
    <row r="1030" spans="1:5" ht="14.25" customHeight="1">
      <c r="A1030" s="140">
        <v>42059</v>
      </c>
      <c r="B1030">
        <v>29004.66</v>
      </c>
      <c r="C1030">
        <v>268.2</v>
      </c>
      <c r="D1030">
        <v>1.0200000000000001E-3</v>
      </c>
      <c r="E1030">
        <v>9.9299999999999996E-3</v>
      </c>
    </row>
    <row r="1031" spans="1:5" ht="14.25" customHeight="1">
      <c r="A1031" s="140">
        <v>42060</v>
      </c>
      <c r="B1031">
        <v>29007.99</v>
      </c>
      <c r="C1031">
        <v>264.35000000000002</v>
      </c>
      <c r="D1031">
        <v>1.1E-4</v>
      </c>
      <c r="E1031">
        <v>-1.4460000000000001E-2</v>
      </c>
    </row>
    <row r="1032" spans="1:5" ht="14.25" customHeight="1">
      <c r="A1032" s="140">
        <v>42061</v>
      </c>
      <c r="B1032">
        <v>28746.65</v>
      </c>
      <c r="C1032">
        <v>262.85000000000002</v>
      </c>
      <c r="D1032">
        <v>-9.0500000000000008E-3</v>
      </c>
      <c r="E1032">
        <v>-5.6899999999999997E-3</v>
      </c>
    </row>
    <row r="1033" spans="1:5" ht="14.25" customHeight="1">
      <c r="A1033" s="140">
        <v>42062</v>
      </c>
      <c r="B1033">
        <v>29220.12</v>
      </c>
      <c r="C1033">
        <v>265.05</v>
      </c>
      <c r="D1033">
        <v>1.634E-2</v>
      </c>
      <c r="E1033">
        <v>8.3300000000000006E-3</v>
      </c>
    </row>
    <row r="1034" spans="1:5" ht="14.25" customHeight="1">
      <c r="A1034" s="140">
        <v>42063</v>
      </c>
      <c r="B1034">
        <v>29361.5</v>
      </c>
      <c r="C1034">
        <v>263.95</v>
      </c>
      <c r="D1034">
        <v>4.8300000000000001E-3</v>
      </c>
      <c r="E1034">
        <v>-4.1599999999999996E-3</v>
      </c>
    </row>
    <row r="1035" spans="1:5" ht="14.25" customHeight="1">
      <c r="A1035" s="140">
        <v>42065</v>
      </c>
      <c r="B1035">
        <v>29459.14</v>
      </c>
      <c r="C1035">
        <v>263.10000000000002</v>
      </c>
      <c r="D1035">
        <v>3.32E-3</v>
      </c>
      <c r="E1035">
        <v>-3.2299999999999998E-3</v>
      </c>
    </row>
    <row r="1036" spans="1:5" ht="14.25" customHeight="1">
      <c r="A1036" s="140">
        <v>42066</v>
      </c>
      <c r="B1036">
        <v>29593.73</v>
      </c>
      <c r="C1036">
        <v>264.55</v>
      </c>
      <c r="D1036">
        <v>4.5599999999999998E-3</v>
      </c>
      <c r="E1036">
        <v>5.4999999999999997E-3</v>
      </c>
    </row>
    <row r="1037" spans="1:5" ht="14.25" customHeight="1">
      <c r="A1037" s="140">
        <v>42067</v>
      </c>
      <c r="B1037">
        <v>29380.73</v>
      </c>
      <c r="C1037">
        <v>264.05</v>
      </c>
      <c r="D1037">
        <v>-7.2199999999999999E-3</v>
      </c>
      <c r="E1037">
        <v>-1.89E-3</v>
      </c>
    </row>
    <row r="1038" spans="1:5" ht="14.25" customHeight="1">
      <c r="A1038" s="140">
        <v>42068</v>
      </c>
      <c r="B1038">
        <v>29448.95</v>
      </c>
      <c r="C1038">
        <v>266.35000000000002</v>
      </c>
      <c r="D1038">
        <v>2.32E-3</v>
      </c>
      <c r="E1038">
        <v>8.6700000000000006E-3</v>
      </c>
    </row>
    <row r="1039" spans="1:5" ht="14.25" customHeight="1">
      <c r="A1039" s="140">
        <v>42072</v>
      </c>
      <c r="B1039">
        <v>28844.78</v>
      </c>
      <c r="C1039">
        <v>274.45</v>
      </c>
      <c r="D1039">
        <v>-2.0729999999999998E-2</v>
      </c>
      <c r="E1039">
        <v>2.9960000000000001E-2</v>
      </c>
    </row>
    <row r="1040" spans="1:5" ht="14.25" customHeight="1">
      <c r="A1040" s="140">
        <v>42073</v>
      </c>
      <c r="B1040">
        <v>28709.87</v>
      </c>
      <c r="C1040">
        <v>265.64999999999998</v>
      </c>
      <c r="D1040">
        <v>-4.6899999999999997E-3</v>
      </c>
      <c r="E1040">
        <v>-3.2590000000000001E-2</v>
      </c>
    </row>
    <row r="1041" spans="1:5" ht="14.25" customHeight="1">
      <c r="A1041" s="140">
        <v>42074</v>
      </c>
      <c r="B1041">
        <v>28659.17</v>
      </c>
      <c r="C1041">
        <v>266.5</v>
      </c>
      <c r="D1041">
        <v>-1.7700000000000001E-3</v>
      </c>
      <c r="E1041">
        <v>3.1900000000000001E-3</v>
      </c>
    </row>
    <row r="1042" spans="1:5" ht="14.25" customHeight="1">
      <c r="A1042" s="140">
        <v>42075</v>
      </c>
      <c r="B1042">
        <v>28930.41</v>
      </c>
      <c r="C1042">
        <v>271.2</v>
      </c>
      <c r="D1042">
        <v>9.4199999999999996E-3</v>
      </c>
      <c r="E1042">
        <v>1.7479999999999999E-2</v>
      </c>
    </row>
    <row r="1043" spans="1:5" ht="14.25" customHeight="1">
      <c r="A1043" s="140">
        <v>42076</v>
      </c>
      <c r="B1043">
        <v>28503.3</v>
      </c>
      <c r="C1043">
        <v>271.60000000000002</v>
      </c>
      <c r="D1043">
        <v>-1.487E-2</v>
      </c>
      <c r="E1043">
        <v>1.47E-3</v>
      </c>
    </row>
    <row r="1044" spans="1:5" ht="14.25" customHeight="1">
      <c r="A1044" s="140">
        <v>42079</v>
      </c>
      <c r="B1044">
        <v>28437.71</v>
      </c>
      <c r="C1044">
        <v>271.05</v>
      </c>
      <c r="D1044">
        <v>-2.3E-3</v>
      </c>
      <c r="E1044">
        <v>-2.0300000000000001E-3</v>
      </c>
    </row>
    <row r="1045" spans="1:5" ht="14.25" customHeight="1">
      <c r="A1045" s="140">
        <v>42080</v>
      </c>
      <c r="B1045">
        <v>28736.38</v>
      </c>
      <c r="C1045">
        <v>282.7</v>
      </c>
      <c r="D1045">
        <v>1.0449999999999999E-2</v>
      </c>
      <c r="E1045">
        <v>4.2079999999999999E-2</v>
      </c>
    </row>
    <row r="1046" spans="1:5" ht="14.25" customHeight="1">
      <c r="A1046" s="140">
        <v>42081</v>
      </c>
      <c r="B1046">
        <v>28622.12</v>
      </c>
      <c r="C1046">
        <v>283</v>
      </c>
      <c r="D1046">
        <v>-3.98E-3</v>
      </c>
      <c r="E1046">
        <v>1.06E-3</v>
      </c>
    </row>
    <row r="1047" spans="1:5" ht="14.25" customHeight="1">
      <c r="A1047" s="140">
        <v>42082</v>
      </c>
      <c r="B1047">
        <v>28469.67</v>
      </c>
      <c r="C1047">
        <v>275.10000000000002</v>
      </c>
      <c r="D1047">
        <v>-5.3400000000000001E-3</v>
      </c>
      <c r="E1047">
        <v>-2.8309999999999998E-2</v>
      </c>
    </row>
    <row r="1048" spans="1:5" ht="14.25" customHeight="1">
      <c r="A1048" s="140">
        <v>42083</v>
      </c>
      <c r="B1048">
        <v>28261.08</v>
      </c>
      <c r="C1048">
        <v>265.8</v>
      </c>
      <c r="D1048">
        <v>-7.3499999999999998E-3</v>
      </c>
      <c r="E1048">
        <v>-3.4389999999999997E-2</v>
      </c>
    </row>
    <row r="1049" spans="1:5" ht="14.25" customHeight="1">
      <c r="A1049" s="140">
        <v>42086</v>
      </c>
      <c r="B1049">
        <v>28192.02</v>
      </c>
      <c r="C1049">
        <v>269.10000000000002</v>
      </c>
      <c r="D1049">
        <v>-2.4499999999999999E-3</v>
      </c>
      <c r="E1049">
        <v>1.234E-2</v>
      </c>
    </row>
    <row r="1050" spans="1:5" ht="14.25" customHeight="1">
      <c r="A1050" s="140">
        <v>42087</v>
      </c>
      <c r="B1050">
        <v>28161.72</v>
      </c>
      <c r="C1050">
        <v>266.55</v>
      </c>
      <c r="D1050">
        <v>-1.08E-3</v>
      </c>
      <c r="E1050">
        <v>-9.5200000000000007E-3</v>
      </c>
    </row>
    <row r="1051" spans="1:5" ht="14.25" customHeight="1">
      <c r="A1051" s="140">
        <v>42088</v>
      </c>
      <c r="B1051">
        <v>28111.83</v>
      </c>
      <c r="C1051">
        <v>268.10000000000002</v>
      </c>
      <c r="D1051">
        <v>-1.7700000000000001E-3</v>
      </c>
      <c r="E1051">
        <v>5.7999999999999996E-3</v>
      </c>
    </row>
    <row r="1052" spans="1:5" ht="14.25" customHeight="1">
      <c r="A1052" s="140">
        <v>42089</v>
      </c>
      <c r="B1052">
        <v>27457.58</v>
      </c>
      <c r="C1052">
        <v>262.7</v>
      </c>
      <c r="D1052">
        <v>-2.3550000000000001E-2</v>
      </c>
      <c r="E1052">
        <v>-2.035E-2</v>
      </c>
    </row>
    <row r="1053" spans="1:5" ht="14.25" customHeight="1">
      <c r="A1053" s="140">
        <v>42090</v>
      </c>
      <c r="B1053">
        <v>27458.639999999999</v>
      </c>
      <c r="C1053">
        <v>264.85000000000002</v>
      </c>
      <c r="D1053">
        <v>4.0000000000000003E-5</v>
      </c>
      <c r="E1053">
        <v>8.1499999999999993E-3</v>
      </c>
    </row>
    <row r="1054" spans="1:5" ht="14.25" customHeight="1">
      <c r="A1054" s="140">
        <v>42093</v>
      </c>
      <c r="B1054">
        <v>27975.86</v>
      </c>
      <c r="C1054">
        <v>266</v>
      </c>
      <c r="D1054">
        <v>1.866E-2</v>
      </c>
      <c r="E1054">
        <v>4.3299999999999996E-3</v>
      </c>
    </row>
    <row r="1055" spans="1:5" ht="14.25" customHeight="1">
      <c r="A1055" s="140">
        <v>42094</v>
      </c>
      <c r="B1055">
        <v>27957.49</v>
      </c>
      <c r="C1055">
        <v>265.45</v>
      </c>
      <c r="D1055">
        <v>-6.6E-4</v>
      </c>
      <c r="E1055">
        <v>-2.0699999999999998E-3</v>
      </c>
    </row>
    <row r="1056" spans="1:5" ht="14.25" customHeight="1">
      <c r="A1056" s="140">
        <v>42095</v>
      </c>
      <c r="B1056">
        <v>28260.14</v>
      </c>
      <c r="C1056">
        <v>266.75</v>
      </c>
      <c r="D1056">
        <v>1.077E-2</v>
      </c>
      <c r="E1056">
        <v>4.8900000000000002E-3</v>
      </c>
    </row>
    <row r="1057" spans="1:5" ht="14.25" customHeight="1">
      <c r="A1057" s="140">
        <v>42100</v>
      </c>
      <c r="B1057">
        <v>28504.46</v>
      </c>
      <c r="C1057">
        <v>272.45</v>
      </c>
      <c r="D1057">
        <v>8.6099999999999996E-3</v>
      </c>
      <c r="E1057">
        <v>2.1139999999999999E-2</v>
      </c>
    </row>
    <row r="1058" spans="1:5" ht="14.25" customHeight="1">
      <c r="A1058" s="140">
        <v>42101</v>
      </c>
      <c r="B1058">
        <v>28516.59</v>
      </c>
      <c r="C1058">
        <v>274.25</v>
      </c>
      <c r="D1058">
        <v>4.2999999999999999E-4</v>
      </c>
      <c r="E1058">
        <v>6.5799999999999999E-3</v>
      </c>
    </row>
    <row r="1059" spans="1:5" ht="14.25" customHeight="1">
      <c r="A1059" s="140">
        <v>42102</v>
      </c>
      <c r="B1059">
        <v>28707.75</v>
      </c>
      <c r="C1059">
        <v>284.60000000000002</v>
      </c>
      <c r="D1059">
        <v>6.6800000000000002E-3</v>
      </c>
      <c r="E1059">
        <v>3.7039999999999997E-2</v>
      </c>
    </row>
    <row r="1060" spans="1:5" ht="14.25" customHeight="1">
      <c r="A1060" s="140">
        <v>42103</v>
      </c>
      <c r="B1060">
        <v>28885.21</v>
      </c>
      <c r="C1060">
        <v>279.10000000000002</v>
      </c>
      <c r="D1060">
        <v>6.1599999999999997E-3</v>
      </c>
      <c r="E1060">
        <v>-1.951E-2</v>
      </c>
    </row>
    <row r="1061" spans="1:5" ht="14.25" customHeight="1">
      <c r="A1061" s="140">
        <v>42104</v>
      </c>
      <c r="B1061">
        <v>28879.38</v>
      </c>
      <c r="C1061">
        <v>280.10000000000002</v>
      </c>
      <c r="D1061">
        <v>-2.0000000000000001E-4</v>
      </c>
      <c r="E1061">
        <v>3.5799999999999998E-3</v>
      </c>
    </row>
    <row r="1062" spans="1:5" ht="14.25" customHeight="1">
      <c r="A1062" s="140">
        <v>42107</v>
      </c>
      <c r="B1062">
        <v>29044.44</v>
      </c>
      <c r="C1062">
        <v>282.95</v>
      </c>
      <c r="D1062">
        <v>5.7000000000000002E-3</v>
      </c>
      <c r="E1062">
        <v>1.0120000000000001E-2</v>
      </c>
    </row>
    <row r="1063" spans="1:5" ht="14.25" customHeight="1">
      <c r="A1063" s="140">
        <v>42109</v>
      </c>
      <c r="B1063">
        <v>28799.69</v>
      </c>
      <c r="C1063">
        <v>275.25</v>
      </c>
      <c r="D1063">
        <v>-8.4600000000000005E-3</v>
      </c>
      <c r="E1063">
        <v>-2.759E-2</v>
      </c>
    </row>
    <row r="1064" spans="1:5" ht="14.25" customHeight="1">
      <c r="A1064" s="140">
        <v>42110</v>
      </c>
      <c r="B1064">
        <v>28666.04</v>
      </c>
      <c r="C1064">
        <v>275.75</v>
      </c>
      <c r="D1064">
        <v>-4.6499999999999996E-3</v>
      </c>
      <c r="E1064">
        <v>1.81E-3</v>
      </c>
    </row>
    <row r="1065" spans="1:5" ht="14.25" customHeight="1">
      <c r="A1065" s="140">
        <v>42111</v>
      </c>
      <c r="B1065">
        <v>28442.1</v>
      </c>
      <c r="C1065">
        <v>273.05</v>
      </c>
      <c r="D1065">
        <v>-7.8399999999999997E-3</v>
      </c>
      <c r="E1065">
        <v>-9.8399999999999998E-3</v>
      </c>
    </row>
    <row r="1066" spans="1:5" ht="14.25" customHeight="1">
      <c r="A1066" s="140">
        <v>42114</v>
      </c>
      <c r="B1066">
        <v>27886.21</v>
      </c>
      <c r="C1066">
        <v>268.8</v>
      </c>
      <c r="D1066">
        <v>-1.9740000000000001E-2</v>
      </c>
      <c r="E1066">
        <v>-1.5689999999999999E-2</v>
      </c>
    </row>
    <row r="1067" spans="1:5" ht="14.25" customHeight="1">
      <c r="A1067" s="140">
        <v>42115</v>
      </c>
      <c r="B1067">
        <v>27676.04</v>
      </c>
      <c r="C1067">
        <v>268.5</v>
      </c>
      <c r="D1067">
        <v>-7.5700000000000003E-3</v>
      </c>
      <c r="E1067">
        <v>-1.1199999999999999E-3</v>
      </c>
    </row>
    <row r="1068" spans="1:5" ht="14.25" customHeight="1">
      <c r="A1068" s="140">
        <v>42116</v>
      </c>
      <c r="B1068">
        <v>27890.13</v>
      </c>
      <c r="C1068">
        <v>266.5</v>
      </c>
      <c r="D1068">
        <v>7.7099999999999998E-3</v>
      </c>
      <c r="E1068">
        <v>-7.4799999999999997E-3</v>
      </c>
    </row>
    <row r="1069" spans="1:5" ht="14.25" customHeight="1">
      <c r="A1069" s="140">
        <v>42117</v>
      </c>
      <c r="B1069">
        <v>27735.02</v>
      </c>
      <c r="C1069">
        <v>270.75</v>
      </c>
      <c r="D1069">
        <v>-5.5799999999999999E-3</v>
      </c>
      <c r="E1069">
        <v>1.5820000000000001E-2</v>
      </c>
    </row>
    <row r="1070" spans="1:5" ht="14.25" customHeight="1">
      <c r="A1070" s="140">
        <v>42118</v>
      </c>
      <c r="B1070">
        <v>27437.94</v>
      </c>
      <c r="C1070">
        <v>269.45</v>
      </c>
      <c r="D1070">
        <v>-1.077E-2</v>
      </c>
      <c r="E1070">
        <v>-4.81E-3</v>
      </c>
    </row>
    <row r="1071" spans="1:5" ht="14.25" customHeight="1">
      <c r="A1071" s="140">
        <v>42121</v>
      </c>
      <c r="B1071">
        <v>27176.99</v>
      </c>
      <c r="C1071">
        <v>263</v>
      </c>
      <c r="D1071">
        <v>-9.5600000000000008E-3</v>
      </c>
      <c r="E1071">
        <v>-2.4230000000000002E-2</v>
      </c>
    </row>
    <row r="1072" spans="1:5" ht="14.25" customHeight="1">
      <c r="A1072" s="140">
        <v>42122</v>
      </c>
      <c r="B1072">
        <v>27396.38</v>
      </c>
      <c r="C1072">
        <v>259.2</v>
      </c>
      <c r="D1072">
        <v>8.0400000000000003E-3</v>
      </c>
      <c r="E1072">
        <v>-1.455E-2</v>
      </c>
    </row>
    <row r="1073" spans="1:5" ht="14.25" customHeight="1">
      <c r="A1073" s="140">
        <v>42123</v>
      </c>
      <c r="B1073">
        <v>27225.93</v>
      </c>
      <c r="C1073">
        <v>255.2</v>
      </c>
      <c r="D1073">
        <v>-6.2399999999999999E-3</v>
      </c>
      <c r="E1073">
        <v>-1.555E-2</v>
      </c>
    </row>
    <row r="1074" spans="1:5" ht="14.25" customHeight="1">
      <c r="A1074" s="140">
        <v>42124</v>
      </c>
      <c r="B1074">
        <v>27011.31</v>
      </c>
      <c r="C1074">
        <v>251.95</v>
      </c>
      <c r="D1074">
        <v>-7.9100000000000004E-3</v>
      </c>
      <c r="E1074">
        <v>-1.282E-2</v>
      </c>
    </row>
    <row r="1075" spans="1:5" ht="14.25" customHeight="1">
      <c r="A1075" s="140">
        <v>42128</v>
      </c>
      <c r="B1075">
        <v>27490.59</v>
      </c>
      <c r="C1075">
        <v>261.39999999999998</v>
      </c>
      <c r="D1075">
        <v>1.7590000000000001E-2</v>
      </c>
      <c r="E1075">
        <v>3.6819999999999999E-2</v>
      </c>
    </row>
    <row r="1076" spans="1:5" ht="14.25" customHeight="1">
      <c r="A1076" s="140">
        <v>42129</v>
      </c>
      <c r="B1076">
        <v>27440.14</v>
      </c>
      <c r="C1076">
        <v>264</v>
      </c>
      <c r="D1076">
        <v>-1.8400000000000001E-3</v>
      </c>
      <c r="E1076">
        <v>9.9000000000000008E-3</v>
      </c>
    </row>
    <row r="1077" spans="1:5" ht="14.25" customHeight="1">
      <c r="A1077" s="140">
        <v>42130</v>
      </c>
      <c r="B1077">
        <v>26717.37</v>
      </c>
      <c r="C1077">
        <v>262.85000000000002</v>
      </c>
      <c r="D1077">
        <v>-2.6689999999999998E-2</v>
      </c>
      <c r="E1077">
        <v>-4.3699999999999998E-3</v>
      </c>
    </row>
    <row r="1078" spans="1:5" ht="14.25" customHeight="1">
      <c r="A1078" s="140">
        <v>42131</v>
      </c>
      <c r="B1078">
        <v>26599.11</v>
      </c>
      <c r="C1078">
        <v>256.95</v>
      </c>
      <c r="D1078">
        <v>-4.4400000000000004E-3</v>
      </c>
      <c r="E1078">
        <v>-2.2700000000000001E-2</v>
      </c>
    </row>
    <row r="1079" spans="1:5" ht="14.25" customHeight="1">
      <c r="A1079" s="140">
        <v>42132</v>
      </c>
      <c r="B1079">
        <v>27105.39</v>
      </c>
      <c r="C1079">
        <v>260.75</v>
      </c>
      <c r="D1079">
        <v>1.8849999999999999E-2</v>
      </c>
      <c r="E1079">
        <v>1.468E-2</v>
      </c>
    </row>
    <row r="1080" spans="1:5" ht="14.25" customHeight="1">
      <c r="A1080" s="140">
        <v>42135</v>
      </c>
      <c r="B1080">
        <v>27507.3</v>
      </c>
      <c r="C1080">
        <v>257.10000000000002</v>
      </c>
      <c r="D1080">
        <v>1.472E-2</v>
      </c>
      <c r="E1080">
        <v>-1.41E-2</v>
      </c>
    </row>
    <row r="1081" spans="1:5" ht="14.25" customHeight="1">
      <c r="A1081" s="140">
        <v>42136</v>
      </c>
      <c r="B1081">
        <v>26877.48</v>
      </c>
      <c r="C1081">
        <v>260</v>
      </c>
      <c r="D1081">
        <v>-2.316E-2</v>
      </c>
      <c r="E1081">
        <v>1.1220000000000001E-2</v>
      </c>
    </row>
    <row r="1082" spans="1:5" ht="14.25" customHeight="1">
      <c r="A1082" s="140">
        <v>42137</v>
      </c>
      <c r="B1082">
        <v>27251.1</v>
      </c>
      <c r="C1082">
        <v>260.55</v>
      </c>
      <c r="D1082">
        <v>1.3809999999999999E-2</v>
      </c>
      <c r="E1082">
        <v>2.1099999999999999E-3</v>
      </c>
    </row>
    <row r="1083" spans="1:5" ht="14.25" customHeight="1">
      <c r="A1083" s="140">
        <v>42138</v>
      </c>
      <c r="B1083">
        <v>27206.06</v>
      </c>
      <c r="C1083">
        <v>263.45</v>
      </c>
      <c r="D1083">
        <v>-1.65E-3</v>
      </c>
      <c r="E1083">
        <v>1.107E-2</v>
      </c>
    </row>
    <row r="1084" spans="1:5" ht="14.25" customHeight="1">
      <c r="A1084" s="140">
        <v>42139</v>
      </c>
      <c r="B1084">
        <v>27324</v>
      </c>
      <c r="C1084">
        <v>264.14999999999998</v>
      </c>
      <c r="D1084">
        <v>4.3299999999999996E-3</v>
      </c>
      <c r="E1084">
        <v>2.65E-3</v>
      </c>
    </row>
    <row r="1085" spans="1:5" ht="14.25" customHeight="1">
      <c r="A1085" s="140">
        <v>42142</v>
      </c>
      <c r="B1085">
        <v>27687.3</v>
      </c>
      <c r="C1085">
        <v>265.14999999999998</v>
      </c>
      <c r="D1085">
        <v>1.321E-2</v>
      </c>
      <c r="E1085">
        <v>3.7799999999999999E-3</v>
      </c>
    </row>
    <row r="1086" spans="1:5" ht="14.25" customHeight="1">
      <c r="A1086" s="140">
        <v>42143</v>
      </c>
      <c r="B1086">
        <v>27645.53</v>
      </c>
      <c r="C1086">
        <v>264.8</v>
      </c>
      <c r="D1086">
        <v>-1.5100000000000001E-3</v>
      </c>
      <c r="E1086">
        <v>-1.32E-3</v>
      </c>
    </row>
    <row r="1087" spans="1:5" ht="14.25" customHeight="1">
      <c r="A1087" s="140">
        <v>42144</v>
      </c>
      <c r="B1087">
        <v>27837.21</v>
      </c>
      <c r="C1087">
        <v>263.55</v>
      </c>
      <c r="D1087">
        <v>6.9100000000000003E-3</v>
      </c>
      <c r="E1087">
        <v>-4.7299999999999998E-3</v>
      </c>
    </row>
    <row r="1088" spans="1:5" ht="14.25" customHeight="1">
      <c r="A1088" s="140">
        <v>42145</v>
      </c>
      <c r="B1088">
        <v>27809.35</v>
      </c>
      <c r="C1088">
        <v>259.5</v>
      </c>
      <c r="D1088">
        <v>-1E-3</v>
      </c>
      <c r="E1088">
        <v>-1.549E-2</v>
      </c>
    </row>
    <row r="1089" spans="1:5" ht="14.25" customHeight="1">
      <c r="A1089" s="140">
        <v>42146</v>
      </c>
      <c r="B1089">
        <v>27957.5</v>
      </c>
      <c r="C1089">
        <v>265.3</v>
      </c>
      <c r="D1089">
        <v>5.3099999999999996E-3</v>
      </c>
      <c r="E1089">
        <v>2.2100000000000002E-2</v>
      </c>
    </row>
    <row r="1090" spans="1:5" ht="14.25" customHeight="1">
      <c r="A1090" s="140">
        <v>42149</v>
      </c>
      <c r="B1090">
        <v>27643.88</v>
      </c>
      <c r="C1090">
        <v>267.8</v>
      </c>
      <c r="D1090">
        <v>-1.128E-2</v>
      </c>
      <c r="E1090">
        <v>9.3799999999999994E-3</v>
      </c>
    </row>
    <row r="1091" spans="1:5" ht="14.25" customHeight="1">
      <c r="A1091" s="140">
        <v>42150</v>
      </c>
      <c r="B1091">
        <v>27531.41</v>
      </c>
      <c r="C1091">
        <v>270.10000000000002</v>
      </c>
      <c r="D1091">
        <v>-4.0800000000000003E-3</v>
      </c>
      <c r="E1091">
        <v>8.5500000000000003E-3</v>
      </c>
    </row>
    <row r="1092" spans="1:5" ht="14.25" customHeight="1">
      <c r="A1092" s="140">
        <v>42151</v>
      </c>
      <c r="B1092">
        <v>27564.66</v>
      </c>
      <c r="C1092">
        <v>268.75</v>
      </c>
      <c r="D1092">
        <v>1.2099999999999999E-3</v>
      </c>
      <c r="E1092">
        <v>-5.0099999999999997E-3</v>
      </c>
    </row>
    <row r="1093" spans="1:5" ht="14.25" customHeight="1">
      <c r="A1093" s="140">
        <v>42152</v>
      </c>
      <c r="B1093">
        <v>27506.71</v>
      </c>
      <c r="C1093">
        <v>270.75</v>
      </c>
      <c r="D1093">
        <v>-2.0999999999999999E-3</v>
      </c>
      <c r="E1093">
        <v>7.4099999999999999E-3</v>
      </c>
    </row>
    <row r="1094" spans="1:5" ht="14.25" customHeight="1">
      <c r="A1094" s="140">
        <v>42153</v>
      </c>
      <c r="B1094">
        <v>27828.44</v>
      </c>
      <c r="C1094">
        <v>270.85000000000002</v>
      </c>
      <c r="D1094">
        <v>1.163E-2</v>
      </c>
      <c r="E1094">
        <v>3.6999999999999999E-4</v>
      </c>
    </row>
    <row r="1095" spans="1:5" ht="14.25" customHeight="1">
      <c r="A1095" s="140">
        <v>42156</v>
      </c>
      <c r="B1095">
        <v>27848.99</v>
      </c>
      <c r="C1095">
        <v>271.64999999999998</v>
      </c>
      <c r="D1095">
        <v>7.3999999999999999E-4</v>
      </c>
      <c r="E1095">
        <v>2.9499999999999999E-3</v>
      </c>
    </row>
    <row r="1096" spans="1:5" ht="14.25" customHeight="1">
      <c r="A1096" s="140">
        <v>42157</v>
      </c>
      <c r="B1096">
        <v>27188.38</v>
      </c>
      <c r="C1096">
        <v>266.5</v>
      </c>
      <c r="D1096">
        <v>-2.401E-2</v>
      </c>
      <c r="E1096">
        <v>-1.9140000000000001E-2</v>
      </c>
    </row>
    <row r="1097" spans="1:5" ht="14.25" customHeight="1">
      <c r="A1097" s="140">
        <v>42158</v>
      </c>
      <c r="B1097">
        <v>26837.200000000001</v>
      </c>
      <c r="C1097">
        <v>261.60000000000002</v>
      </c>
      <c r="D1097">
        <v>-1.2999999999999999E-2</v>
      </c>
      <c r="E1097">
        <v>-1.856E-2</v>
      </c>
    </row>
    <row r="1098" spans="1:5" ht="14.25" customHeight="1">
      <c r="A1098" s="140">
        <v>42159</v>
      </c>
      <c r="B1098">
        <v>26813.42</v>
      </c>
      <c r="C1098">
        <v>255.95</v>
      </c>
      <c r="D1098">
        <v>-8.8999999999999995E-4</v>
      </c>
      <c r="E1098">
        <v>-2.1829999999999999E-2</v>
      </c>
    </row>
    <row r="1099" spans="1:5" ht="14.25" customHeight="1">
      <c r="A1099" s="140">
        <v>42160</v>
      </c>
      <c r="B1099">
        <v>26768.49</v>
      </c>
      <c r="C1099">
        <v>258.05</v>
      </c>
      <c r="D1099">
        <v>-1.6800000000000001E-3</v>
      </c>
      <c r="E1099">
        <v>8.1700000000000002E-3</v>
      </c>
    </row>
    <row r="1100" spans="1:5" ht="14.25" customHeight="1">
      <c r="A1100" s="140">
        <v>42163</v>
      </c>
      <c r="B1100">
        <v>26523.09</v>
      </c>
      <c r="C1100">
        <v>252.1</v>
      </c>
      <c r="D1100">
        <v>-9.2099999999999994E-3</v>
      </c>
      <c r="E1100">
        <v>-2.333E-2</v>
      </c>
    </row>
    <row r="1101" spans="1:5" ht="14.25" customHeight="1">
      <c r="A1101" s="140">
        <v>42164</v>
      </c>
      <c r="B1101">
        <v>26481.25</v>
      </c>
      <c r="C1101">
        <v>253.95</v>
      </c>
      <c r="D1101">
        <v>-1.58E-3</v>
      </c>
      <c r="E1101">
        <v>7.3099999999999997E-3</v>
      </c>
    </row>
    <row r="1102" spans="1:5" ht="14.25" customHeight="1">
      <c r="A1102" s="140">
        <v>42165</v>
      </c>
      <c r="B1102">
        <v>26840.5</v>
      </c>
      <c r="C1102">
        <v>254</v>
      </c>
      <c r="D1102">
        <v>1.3480000000000001E-2</v>
      </c>
      <c r="E1102">
        <v>2.0000000000000001E-4</v>
      </c>
    </row>
    <row r="1103" spans="1:5" ht="14.25" customHeight="1">
      <c r="A1103" s="140">
        <v>42166</v>
      </c>
      <c r="B1103">
        <v>26370.98</v>
      </c>
      <c r="C1103">
        <v>251.35</v>
      </c>
      <c r="D1103">
        <v>-1.7649999999999999E-2</v>
      </c>
      <c r="E1103">
        <v>-1.0489999999999999E-2</v>
      </c>
    </row>
    <row r="1104" spans="1:5" ht="14.25" customHeight="1">
      <c r="A1104" s="140">
        <v>42167</v>
      </c>
      <c r="B1104">
        <v>26425.3</v>
      </c>
      <c r="C1104">
        <v>252.25</v>
      </c>
      <c r="D1104">
        <v>2.0600000000000002E-3</v>
      </c>
      <c r="E1104">
        <v>3.5699999999999998E-3</v>
      </c>
    </row>
    <row r="1105" spans="1:5" ht="14.25" customHeight="1">
      <c r="A1105" s="140">
        <v>42170</v>
      </c>
      <c r="B1105">
        <v>26586.55</v>
      </c>
      <c r="C1105">
        <v>255.9</v>
      </c>
      <c r="D1105">
        <v>6.0800000000000003E-3</v>
      </c>
      <c r="E1105">
        <v>1.4370000000000001E-2</v>
      </c>
    </row>
    <row r="1106" spans="1:5" ht="14.25" customHeight="1">
      <c r="A1106" s="140">
        <v>42171</v>
      </c>
      <c r="B1106">
        <v>26686.51</v>
      </c>
      <c r="C1106">
        <v>257.25</v>
      </c>
      <c r="D1106">
        <v>3.7499999999999999E-3</v>
      </c>
      <c r="E1106">
        <v>5.2599999999999999E-3</v>
      </c>
    </row>
    <row r="1107" spans="1:5" ht="14.25" customHeight="1">
      <c r="A1107" s="140">
        <v>42172</v>
      </c>
      <c r="B1107">
        <v>26832.66</v>
      </c>
      <c r="C1107">
        <v>265.60000000000002</v>
      </c>
      <c r="D1107">
        <v>5.4599999999999996E-3</v>
      </c>
      <c r="E1107">
        <v>3.1940000000000003E-2</v>
      </c>
    </row>
    <row r="1108" spans="1:5" ht="14.25" customHeight="1">
      <c r="A1108" s="140">
        <v>42173</v>
      </c>
      <c r="B1108">
        <v>27115.83</v>
      </c>
      <c r="C1108">
        <v>267.14999999999998</v>
      </c>
      <c r="D1108">
        <v>1.0500000000000001E-2</v>
      </c>
      <c r="E1108">
        <v>5.8199999999999997E-3</v>
      </c>
    </row>
    <row r="1109" spans="1:5" ht="14.25" customHeight="1">
      <c r="A1109" s="140">
        <v>42174</v>
      </c>
      <c r="B1109">
        <v>27316.17</v>
      </c>
      <c r="C1109">
        <v>269.64999999999998</v>
      </c>
      <c r="D1109">
        <v>7.3600000000000002E-3</v>
      </c>
      <c r="E1109">
        <v>9.3100000000000006E-3</v>
      </c>
    </row>
    <row r="1110" spans="1:5" ht="14.25" customHeight="1">
      <c r="A1110" s="140">
        <v>42177</v>
      </c>
      <c r="B1110">
        <v>27730.21</v>
      </c>
      <c r="C1110">
        <v>270.2</v>
      </c>
      <c r="D1110">
        <v>1.504E-2</v>
      </c>
      <c r="E1110">
        <v>2.0400000000000001E-3</v>
      </c>
    </row>
    <row r="1111" spans="1:5" ht="14.25" customHeight="1">
      <c r="A1111" s="140">
        <v>42178</v>
      </c>
      <c r="B1111">
        <v>27804.37</v>
      </c>
      <c r="C1111">
        <v>269.89999999999998</v>
      </c>
      <c r="D1111">
        <v>2.6700000000000001E-3</v>
      </c>
      <c r="E1111">
        <v>-1.1100000000000001E-3</v>
      </c>
    </row>
    <row r="1112" spans="1:5" ht="14.25" customHeight="1">
      <c r="A1112" s="140">
        <v>42179</v>
      </c>
      <c r="B1112">
        <v>27729.67</v>
      </c>
      <c r="C1112">
        <v>273.35000000000002</v>
      </c>
      <c r="D1112">
        <v>-2.6900000000000001E-3</v>
      </c>
      <c r="E1112">
        <v>1.2699999999999999E-2</v>
      </c>
    </row>
    <row r="1113" spans="1:5" ht="14.25" customHeight="1">
      <c r="A1113" s="140">
        <v>42180</v>
      </c>
      <c r="B1113">
        <v>27895.97</v>
      </c>
      <c r="C1113">
        <v>276.60000000000002</v>
      </c>
      <c r="D1113">
        <v>5.9800000000000001E-3</v>
      </c>
      <c r="E1113">
        <v>1.1820000000000001E-2</v>
      </c>
    </row>
    <row r="1114" spans="1:5" ht="14.25" customHeight="1">
      <c r="A1114" s="140">
        <v>42181</v>
      </c>
      <c r="B1114">
        <v>27811.84</v>
      </c>
      <c r="C1114">
        <v>275.75</v>
      </c>
      <c r="D1114">
        <v>-3.0200000000000001E-3</v>
      </c>
      <c r="E1114">
        <v>-3.0799999999999998E-3</v>
      </c>
    </row>
    <row r="1115" spans="1:5" ht="14.25" customHeight="1">
      <c r="A1115" s="140">
        <v>42184</v>
      </c>
      <c r="B1115">
        <v>27645.15</v>
      </c>
      <c r="C1115">
        <v>275.60000000000002</v>
      </c>
      <c r="D1115">
        <v>-6.0099999999999997E-3</v>
      </c>
      <c r="E1115">
        <v>-5.4000000000000001E-4</v>
      </c>
    </row>
    <row r="1116" spans="1:5" ht="14.25" customHeight="1">
      <c r="A1116" s="140">
        <v>42185</v>
      </c>
      <c r="B1116">
        <v>27780.83</v>
      </c>
      <c r="C1116">
        <v>280.39999999999998</v>
      </c>
      <c r="D1116">
        <v>4.8999999999999998E-3</v>
      </c>
      <c r="E1116">
        <v>1.7270000000000001E-2</v>
      </c>
    </row>
    <row r="1117" spans="1:5" ht="14.25" customHeight="1">
      <c r="A1117" s="140">
        <v>42186</v>
      </c>
      <c r="B1117">
        <v>28020.87</v>
      </c>
      <c r="C1117">
        <v>282.45</v>
      </c>
      <c r="D1117">
        <v>8.6E-3</v>
      </c>
      <c r="E1117">
        <v>7.28E-3</v>
      </c>
    </row>
    <row r="1118" spans="1:5" ht="14.25" customHeight="1">
      <c r="A1118" s="140">
        <v>42187</v>
      </c>
      <c r="B1118">
        <v>27945.8</v>
      </c>
      <c r="C1118">
        <v>278.3</v>
      </c>
      <c r="D1118">
        <v>-2.6800000000000001E-3</v>
      </c>
      <c r="E1118">
        <v>-1.4800000000000001E-2</v>
      </c>
    </row>
    <row r="1119" spans="1:5" ht="14.25" customHeight="1">
      <c r="A1119" s="140">
        <v>42188</v>
      </c>
      <c r="B1119">
        <v>28092.79</v>
      </c>
      <c r="C1119">
        <v>285.35000000000002</v>
      </c>
      <c r="D1119">
        <v>5.2500000000000003E-3</v>
      </c>
      <c r="E1119">
        <v>2.5020000000000001E-2</v>
      </c>
    </row>
    <row r="1120" spans="1:5" ht="14.25" customHeight="1">
      <c r="A1120" s="140">
        <v>42191</v>
      </c>
      <c r="B1120">
        <v>28208.76</v>
      </c>
      <c r="C1120">
        <v>286.10000000000002</v>
      </c>
      <c r="D1120">
        <v>4.1200000000000004E-3</v>
      </c>
      <c r="E1120">
        <v>2.6199999999999999E-3</v>
      </c>
    </row>
    <row r="1121" spans="1:5" ht="14.25" customHeight="1">
      <c r="A1121" s="140">
        <v>42192</v>
      </c>
      <c r="B1121">
        <v>28171.69</v>
      </c>
      <c r="C1121">
        <v>287.55</v>
      </c>
      <c r="D1121">
        <v>-1.31E-3</v>
      </c>
      <c r="E1121">
        <v>5.0600000000000003E-3</v>
      </c>
    </row>
    <row r="1122" spans="1:5" ht="14.25" customHeight="1">
      <c r="A1122" s="140">
        <v>42193</v>
      </c>
      <c r="B1122">
        <v>27687.72</v>
      </c>
      <c r="C1122">
        <v>286.2</v>
      </c>
      <c r="D1122">
        <v>-1.7330000000000002E-2</v>
      </c>
      <c r="E1122">
        <v>-4.7099999999999998E-3</v>
      </c>
    </row>
    <row r="1123" spans="1:5" ht="14.25" customHeight="1">
      <c r="A1123" s="140">
        <v>42194</v>
      </c>
      <c r="B1123">
        <v>27573.66</v>
      </c>
      <c r="C1123">
        <v>286.45</v>
      </c>
      <c r="D1123">
        <v>-4.13E-3</v>
      </c>
      <c r="E1123">
        <v>8.7000000000000001E-4</v>
      </c>
    </row>
    <row r="1124" spans="1:5" ht="14.25" customHeight="1">
      <c r="A1124" s="140">
        <v>42195</v>
      </c>
      <c r="B1124">
        <v>27661.4</v>
      </c>
      <c r="C1124">
        <v>281.85000000000002</v>
      </c>
      <c r="D1124">
        <v>3.1800000000000001E-3</v>
      </c>
      <c r="E1124">
        <v>-1.619E-2</v>
      </c>
    </row>
    <row r="1125" spans="1:5" ht="14.25" customHeight="1">
      <c r="A1125" s="140">
        <v>42198</v>
      </c>
      <c r="B1125">
        <v>27961.19</v>
      </c>
      <c r="C1125">
        <v>286.2</v>
      </c>
      <c r="D1125">
        <v>1.078E-2</v>
      </c>
      <c r="E1125">
        <v>1.532E-2</v>
      </c>
    </row>
    <row r="1126" spans="1:5" ht="14.25" customHeight="1">
      <c r="A1126" s="140">
        <v>42199</v>
      </c>
      <c r="B1126">
        <v>27932.9</v>
      </c>
      <c r="C1126">
        <v>295.35000000000002</v>
      </c>
      <c r="D1126">
        <v>-1.01E-3</v>
      </c>
      <c r="E1126">
        <v>3.1469999999999998E-2</v>
      </c>
    </row>
    <row r="1127" spans="1:5" ht="14.25" customHeight="1">
      <c r="A1127" s="140">
        <v>42200</v>
      </c>
      <c r="B1127">
        <v>28198.29</v>
      </c>
      <c r="C1127">
        <v>292.05</v>
      </c>
      <c r="D1127">
        <v>9.4599999999999997E-3</v>
      </c>
      <c r="E1127">
        <v>-1.124E-2</v>
      </c>
    </row>
    <row r="1128" spans="1:5" ht="14.25" customHeight="1">
      <c r="A1128" s="140">
        <v>42201</v>
      </c>
      <c r="B1128">
        <v>28446.12</v>
      </c>
      <c r="C1128">
        <v>291.3</v>
      </c>
      <c r="D1128">
        <v>8.7500000000000008E-3</v>
      </c>
      <c r="E1128">
        <v>-2.5699999999999998E-3</v>
      </c>
    </row>
    <row r="1129" spans="1:5" ht="14.25" customHeight="1">
      <c r="A1129" s="140">
        <v>42202</v>
      </c>
      <c r="B1129">
        <v>28463.31</v>
      </c>
      <c r="C1129">
        <v>291.89999999999998</v>
      </c>
      <c r="D1129">
        <v>5.9999999999999995E-4</v>
      </c>
      <c r="E1129">
        <v>2.0600000000000002E-3</v>
      </c>
    </row>
    <row r="1130" spans="1:5" ht="14.25" customHeight="1">
      <c r="A1130" s="140">
        <v>42205</v>
      </c>
      <c r="B1130">
        <v>28420.12</v>
      </c>
      <c r="C1130">
        <v>299.05</v>
      </c>
      <c r="D1130">
        <v>-1.5200000000000001E-3</v>
      </c>
      <c r="E1130">
        <v>2.4199999999999999E-2</v>
      </c>
    </row>
    <row r="1131" spans="1:5" ht="14.25" customHeight="1">
      <c r="A1131" s="140">
        <v>42206</v>
      </c>
      <c r="B1131">
        <v>28182.14</v>
      </c>
      <c r="C1131">
        <v>302.25</v>
      </c>
      <c r="D1131">
        <v>-8.4100000000000008E-3</v>
      </c>
      <c r="E1131">
        <v>1.064E-2</v>
      </c>
    </row>
    <row r="1132" spans="1:5" ht="14.25" customHeight="1">
      <c r="A1132" s="140">
        <v>42207</v>
      </c>
      <c r="B1132">
        <v>28504.93</v>
      </c>
      <c r="C1132">
        <v>299.14999999999998</v>
      </c>
      <c r="D1132">
        <v>1.1390000000000001E-2</v>
      </c>
      <c r="E1132">
        <v>-1.031E-2</v>
      </c>
    </row>
    <row r="1133" spans="1:5" ht="14.25" customHeight="1">
      <c r="A1133" s="140">
        <v>42208</v>
      </c>
      <c r="B1133">
        <v>28370.84</v>
      </c>
      <c r="C1133">
        <v>298.45</v>
      </c>
      <c r="D1133">
        <v>-4.7200000000000002E-3</v>
      </c>
      <c r="E1133">
        <v>-2.3400000000000001E-3</v>
      </c>
    </row>
    <row r="1134" spans="1:5" ht="14.25" customHeight="1">
      <c r="A1134" s="140">
        <v>42209</v>
      </c>
      <c r="B1134">
        <v>28112.31</v>
      </c>
      <c r="C1134">
        <v>296.60000000000002</v>
      </c>
      <c r="D1134">
        <v>-9.1500000000000001E-3</v>
      </c>
      <c r="E1134">
        <v>-6.2199999999999998E-3</v>
      </c>
    </row>
    <row r="1135" spans="1:5" ht="14.25" customHeight="1">
      <c r="A1135" s="140">
        <v>42212</v>
      </c>
      <c r="B1135">
        <v>27561.38</v>
      </c>
      <c r="C1135">
        <v>296.25</v>
      </c>
      <c r="D1135">
        <v>-1.9789999999999999E-2</v>
      </c>
      <c r="E1135">
        <v>-1.1800000000000001E-3</v>
      </c>
    </row>
    <row r="1136" spans="1:5" ht="14.25" customHeight="1">
      <c r="A1136" s="140">
        <v>42213</v>
      </c>
      <c r="B1136">
        <v>27459.23</v>
      </c>
      <c r="C1136">
        <v>294.10000000000002</v>
      </c>
      <c r="D1136">
        <v>-3.7100000000000002E-3</v>
      </c>
      <c r="E1136">
        <v>-7.28E-3</v>
      </c>
    </row>
    <row r="1137" spans="1:5" ht="14.25" customHeight="1">
      <c r="A1137" s="140">
        <v>42214</v>
      </c>
      <c r="B1137">
        <v>27563.43</v>
      </c>
      <c r="C1137">
        <v>290.45</v>
      </c>
      <c r="D1137">
        <v>3.79E-3</v>
      </c>
      <c r="E1137">
        <v>-1.2489999999999999E-2</v>
      </c>
    </row>
    <row r="1138" spans="1:5" ht="14.25" customHeight="1">
      <c r="A1138" s="140">
        <v>42215</v>
      </c>
      <c r="B1138">
        <v>27705.35</v>
      </c>
      <c r="C1138">
        <v>292.14999999999998</v>
      </c>
      <c r="D1138">
        <v>5.1399999999999996E-3</v>
      </c>
      <c r="E1138">
        <v>5.8399999999999997E-3</v>
      </c>
    </row>
    <row r="1139" spans="1:5" ht="14.25" customHeight="1">
      <c r="A1139" s="140">
        <v>42216</v>
      </c>
      <c r="B1139">
        <v>28114.560000000001</v>
      </c>
      <c r="C1139">
        <v>293.35000000000002</v>
      </c>
      <c r="D1139">
        <v>1.4659999999999999E-2</v>
      </c>
      <c r="E1139">
        <v>4.1000000000000003E-3</v>
      </c>
    </row>
    <row r="1140" spans="1:5" ht="14.25" customHeight="1">
      <c r="A1140" s="140">
        <v>42219</v>
      </c>
      <c r="B1140">
        <v>28187.06</v>
      </c>
      <c r="C1140">
        <v>290.5</v>
      </c>
      <c r="D1140">
        <v>2.5799999999999998E-3</v>
      </c>
      <c r="E1140">
        <v>-9.7599999999999996E-3</v>
      </c>
    </row>
    <row r="1141" spans="1:5" ht="14.25" customHeight="1">
      <c r="A1141" s="140">
        <v>42220</v>
      </c>
      <c r="B1141">
        <v>28071.93</v>
      </c>
      <c r="C1141">
        <v>291.95</v>
      </c>
      <c r="D1141">
        <v>-4.0899999999999999E-3</v>
      </c>
      <c r="E1141">
        <v>4.9800000000000001E-3</v>
      </c>
    </row>
    <row r="1142" spans="1:5" ht="14.25" customHeight="1">
      <c r="A1142" s="140">
        <v>42221</v>
      </c>
      <c r="B1142">
        <v>28223.08</v>
      </c>
      <c r="C1142">
        <v>306.55</v>
      </c>
      <c r="D1142">
        <v>5.3699999999999998E-3</v>
      </c>
      <c r="E1142">
        <v>4.8800000000000003E-2</v>
      </c>
    </row>
    <row r="1143" spans="1:5" ht="14.25" customHeight="1">
      <c r="A1143" s="140">
        <v>42222</v>
      </c>
      <c r="B1143">
        <v>28298.13</v>
      </c>
      <c r="C1143">
        <v>307.8</v>
      </c>
      <c r="D1143">
        <v>2.66E-3</v>
      </c>
      <c r="E1143">
        <v>4.0699999999999998E-3</v>
      </c>
    </row>
    <row r="1144" spans="1:5" ht="14.25" customHeight="1">
      <c r="A1144" s="140">
        <v>42223</v>
      </c>
      <c r="B1144">
        <v>28236.39</v>
      </c>
      <c r="C1144">
        <v>308.3</v>
      </c>
      <c r="D1144">
        <v>-2.1800000000000001E-3</v>
      </c>
      <c r="E1144">
        <v>1.6199999999999999E-3</v>
      </c>
    </row>
    <row r="1145" spans="1:5" ht="14.25" customHeight="1">
      <c r="A1145" s="140">
        <v>42226</v>
      </c>
      <c r="B1145">
        <v>28101.72</v>
      </c>
      <c r="C1145">
        <v>305.25</v>
      </c>
      <c r="D1145">
        <v>-4.7800000000000004E-3</v>
      </c>
      <c r="E1145">
        <v>-9.9399999999999992E-3</v>
      </c>
    </row>
    <row r="1146" spans="1:5" ht="14.25" customHeight="1">
      <c r="A1146" s="140">
        <v>42227</v>
      </c>
      <c r="B1146">
        <v>27866.09</v>
      </c>
      <c r="C1146">
        <v>300</v>
      </c>
      <c r="D1146">
        <v>-8.4200000000000004E-3</v>
      </c>
      <c r="E1146">
        <v>-1.7350000000000001E-2</v>
      </c>
    </row>
    <row r="1147" spans="1:5" ht="14.25" customHeight="1">
      <c r="A1147" s="140">
        <v>42228</v>
      </c>
      <c r="B1147">
        <v>27512.26</v>
      </c>
      <c r="C1147">
        <v>298</v>
      </c>
      <c r="D1147">
        <v>-1.278E-2</v>
      </c>
      <c r="E1147">
        <v>-6.6899999999999998E-3</v>
      </c>
    </row>
    <row r="1148" spans="1:5" ht="14.25" customHeight="1">
      <c r="A1148" s="140">
        <v>42229</v>
      </c>
      <c r="B1148">
        <v>27549.53</v>
      </c>
      <c r="C1148">
        <v>292.3</v>
      </c>
      <c r="D1148">
        <v>1.3500000000000001E-3</v>
      </c>
      <c r="E1148">
        <v>-1.9310000000000001E-2</v>
      </c>
    </row>
    <row r="1149" spans="1:5" ht="14.25" customHeight="1">
      <c r="A1149" s="140">
        <v>42230</v>
      </c>
      <c r="B1149">
        <v>28067.31</v>
      </c>
      <c r="C1149">
        <v>295.14999999999998</v>
      </c>
      <c r="D1149">
        <v>1.8620000000000001E-2</v>
      </c>
      <c r="E1149">
        <v>9.7000000000000003E-3</v>
      </c>
    </row>
    <row r="1150" spans="1:5" ht="14.25" customHeight="1">
      <c r="A1150" s="140">
        <v>42233</v>
      </c>
      <c r="B1150">
        <v>27878.27</v>
      </c>
      <c r="C1150">
        <v>302.85000000000002</v>
      </c>
      <c r="D1150">
        <v>-6.7600000000000004E-3</v>
      </c>
      <c r="E1150">
        <v>2.5749999999999999E-2</v>
      </c>
    </row>
    <row r="1151" spans="1:5" ht="14.25" customHeight="1">
      <c r="A1151" s="140">
        <v>42234</v>
      </c>
      <c r="B1151">
        <v>27831.54</v>
      </c>
      <c r="C1151">
        <v>303.05</v>
      </c>
      <c r="D1151">
        <v>-1.6800000000000001E-3</v>
      </c>
      <c r="E1151">
        <v>6.6E-4</v>
      </c>
    </row>
    <row r="1152" spans="1:5" ht="14.25" customHeight="1">
      <c r="A1152" s="140">
        <v>42235</v>
      </c>
      <c r="B1152">
        <v>27931.64</v>
      </c>
      <c r="C1152">
        <v>297.60000000000002</v>
      </c>
      <c r="D1152">
        <v>3.5899999999999999E-3</v>
      </c>
      <c r="E1152">
        <v>-1.8149999999999999E-2</v>
      </c>
    </row>
    <row r="1153" spans="1:5" ht="14.25" customHeight="1">
      <c r="A1153" s="140">
        <v>42236</v>
      </c>
      <c r="B1153">
        <v>27607.82</v>
      </c>
      <c r="C1153">
        <v>297.2</v>
      </c>
      <c r="D1153">
        <v>-1.166E-2</v>
      </c>
      <c r="E1153">
        <v>-1.34E-3</v>
      </c>
    </row>
    <row r="1154" spans="1:5" ht="14.25" customHeight="1">
      <c r="A1154" s="140">
        <v>42237</v>
      </c>
      <c r="B1154">
        <v>27366.07</v>
      </c>
      <c r="C1154">
        <v>298.7</v>
      </c>
      <c r="D1154">
        <v>-8.8000000000000005E-3</v>
      </c>
      <c r="E1154">
        <v>5.0299999999999997E-3</v>
      </c>
    </row>
    <row r="1155" spans="1:5" ht="14.25" customHeight="1">
      <c r="A1155" s="140">
        <v>42240</v>
      </c>
      <c r="B1155">
        <v>25741.56</v>
      </c>
      <c r="C1155">
        <v>273.2</v>
      </c>
      <c r="D1155">
        <v>-6.1199999999999997E-2</v>
      </c>
      <c r="E1155">
        <v>-8.924E-2</v>
      </c>
    </row>
    <row r="1156" spans="1:5" ht="14.25" customHeight="1">
      <c r="A1156" s="140">
        <v>42241</v>
      </c>
      <c r="B1156">
        <v>26032.38</v>
      </c>
      <c r="C1156">
        <v>273.64999999999998</v>
      </c>
      <c r="D1156">
        <v>1.123E-2</v>
      </c>
      <c r="E1156">
        <v>1.65E-3</v>
      </c>
    </row>
    <row r="1157" spans="1:5" ht="14.25" customHeight="1">
      <c r="A1157" s="140">
        <v>42242</v>
      </c>
      <c r="B1157">
        <v>25714.66</v>
      </c>
      <c r="C1157">
        <v>274.95</v>
      </c>
      <c r="D1157">
        <v>-1.2279999999999999E-2</v>
      </c>
      <c r="E1157">
        <v>4.7400000000000003E-3</v>
      </c>
    </row>
    <row r="1158" spans="1:5" ht="14.25" customHeight="1">
      <c r="A1158" s="140">
        <v>42243</v>
      </c>
      <c r="B1158">
        <v>26231.19</v>
      </c>
      <c r="C1158">
        <v>284.35000000000002</v>
      </c>
      <c r="D1158">
        <v>1.9890000000000001E-2</v>
      </c>
      <c r="E1158">
        <v>3.3619999999999997E-2</v>
      </c>
    </row>
    <row r="1159" spans="1:5" ht="14.25" customHeight="1">
      <c r="A1159" s="140">
        <v>42244</v>
      </c>
      <c r="B1159">
        <v>26392.38</v>
      </c>
      <c r="C1159">
        <v>280.95</v>
      </c>
      <c r="D1159">
        <v>6.13E-3</v>
      </c>
      <c r="E1159">
        <v>-1.2030000000000001E-2</v>
      </c>
    </row>
    <row r="1160" spans="1:5" ht="14.25" customHeight="1">
      <c r="A1160" s="140">
        <v>42247</v>
      </c>
      <c r="B1160">
        <v>26283.09</v>
      </c>
      <c r="C1160">
        <v>273.7</v>
      </c>
      <c r="D1160">
        <v>-4.15E-3</v>
      </c>
      <c r="E1160">
        <v>-2.614E-2</v>
      </c>
    </row>
    <row r="1161" spans="1:5" ht="14.25" customHeight="1">
      <c r="A1161" s="140">
        <v>42248</v>
      </c>
      <c r="B1161">
        <v>25696.44</v>
      </c>
      <c r="C1161">
        <v>271.10000000000002</v>
      </c>
      <c r="D1161">
        <v>-2.257E-2</v>
      </c>
      <c r="E1161">
        <v>-9.5399999999999999E-3</v>
      </c>
    </row>
    <row r="1162" spans="1:5" ht="14.25" customHeight="1">
      <c r="A1162" s="140">
        <v>42249</v>
      </c>
      <c r="B1162">
        <v>25453.56</v>
      </c>
      <c r="C1162">
        <v>279.10000000000002</v>
      </c>
      <c r="D1162">
        <v>-9.4999999999999998E-3</v>
      </c>
      <c r="E1162">
        <v>2.9080000000000002E-2</v>
      </c>
    </row>
    <row r="1163" spans="1:5" ht="14.25" customHeight="1">
      <c r="A1163" s="140">
        <v>42250</v>
      </c>
      <c r="B1163">
        <v>25764.78</v>
      </c>
      <c r="C1163">
        <v>285.10000000000002</v>
      </c>
      <c r="D1163">
        <v>1.2149999999999999E-2</v>
      </c>
      <c r="E1163">
        <v>2.1270000000000001E-2</v>
      </c>
    </row>
    <row r="1164" spans="1:5" ht="14.25" customHeight="1">
      <c r="A1164" s="140">
        <v>42251</v>
      </c>
      <c r="B1164">
        <v>25201.9</v>
      </c>
      <c r="C1164">
        <v>285.14999999999998</v>
      </c>
      <c r="D1164">
        <v>-2.2089999999999999E-2</v>
      </c>
      <c r="E1164">
        <v>1.8000000000000001E-4</v>
      </c>
    </row>
    <row r="1165" spans="1:5" ht="14.25" customHeight="1">
      <c r="A1165" s="140">
        <v>42254</v>
      </c>
      <c r="B1165">
        <v>24893.81</v>
      </c>
      <c r="C1165">
        <v>276.89999999999998</v>
      </c>
      <c r="D1165">
        <v>-1.23E-2</v>
      </c>
      <c r="E1165">
        <v>-2.9360000000000001E-2</v>
      </c>
    </row>
    <row r="1166" spans="1:5" ht="14.25" customHeight="1">
      <c r="A1166" s="140">
        <v>42255</v>
      </c>
      <c r="B1166">
        <v>25317.87</v>
      </c>
      <c r="C1166">
        <v>274.14999999999998</v>
      </c>
      <c r="D1166">
        <v>1.6889999999999999E-2</v>
      </c>
      <c r="E1166">
        <v>-9.9799999999999993E-3</v>
      </c>
    </row>
    <row r="1167" spans="1:5" ht="14.25" customHeight="1">
      <c r="A1167" s="140">
        <v>42256</v>
      </c>
      <c r="B1167">
        <v>25719.58</v>
      </c>
      <c r="C1167">
        <v>275.10000000000002</v>
      </c>
      <c r="D1167">
        <v>1.5740000000000001E-2</v>
      </c>
      <c r="E1167">
        <v>3.46E-3</v>
      </c>
    </row>
    <row r="1168" spans="1:5" ht="14.25" customHeight="1">
      <c r="A1168" s="140">
        <v>42257</v>
      </c>
      <c r="B1168">
        <v>25622.17</v>
      </c>
      <c r="C1168">
        <v>279.45</v>
      </c>
      <c r="D1168">
        <v>-3.79E-3</v>
      </c>
      <c r="E1168">
        <v>1.5689999999999999E-2</v>
      </c>
    </row>
    <row r="1169" spans="1:5" ht="14.25" customHeight="1">
      <c r="A1169" s="140">
        <v>42258</v>
      </c>
      <c r="B1169">
        <v>25610.21</v>
      </c>
      <c r="C1169">
        <v>281.75</v>
      </c>
      <c r="D1169">
        <v>-4.6999999999999999E-4</v>
      </c>
      <c r="E1169">
        <v>8.2000000000000007E-3</v>
      </c>
    </row>
    <row r="1170" spans="1:5" ht="14.25" customHeight="1">
      <c r="A1170" s="140">
        <v>42261</v>
      </c>
      <c r="B1170">
        <v>25856.7</v>
      </c>
      <c r="C1170">
        <v>281.14999999999998</v>
      </c>
      <c r="D1170">
        <v>9.58E-3</v>
      </c>
      <c r="E1170">
        <v>-2.1299999999999999E-3</v>
      </c>
    </row>
    <row r="1171" spans="1:5" ht="14.25" customHeight="1">
      <c r="A1171" s="140">
        <v>42262</v>
      </c>
      <c r="B1171">
        <v>25705.93</v>
      </c>
      <c r="C1171">
        <v>282.14999999999998</v>
      </c>
      <c r="D1171">
        <v>-5.8500000000000002E-3</v>
      </c>
      <c r="E1171">
        <v>3.5500000000000002E-3</v>
      </c>
    </row>
    <row r="1172" spans="1:5" ht="14.25" customHeight="1">
      <c r="A1172" s="140">
        <v>42263</v>
      </c>
      <c r="B1172">
        <v>25963.97</v>
      </c>
      <c r="C1172">
        <v>273.89999999999998</v>
      </c>
      <c r="D1172">
        <v>9.9900000000000006E-3</v>
      </c>
      <c r="E1172">
        <v>-2.9680000000000002E-2</v>
      </c>
    </row>
    <row r="1173" spans="1:5" ht="14.25" customHeight="1">
      <c r="A1173" s="140">
        <v>42265</v>
      </c>
      <c r="B1173">
        <v>26218.91</v>
      </c>
      <c r="C1173">
        <v>276.2</v>
      </c>
      <c r="D1173">
        <v>9.7699999999999992E-3</v>
      </c>
      <c r="E1173">
        <v>8.3599999999999994E-3</v>
      </c>
    </row>
    <row r="1174" spans="1:5" ht="14.25" customHeight="1">
      <c r="A1174" s="140">
        <v>42268</v>
      </c>
      <c r="B1174">
        <v>26192.98</v>
      </c>
      <c r="C1174">
        <v>279.10000000000002</v>
      </c>
      <c r="D1174">
        <v>-9.8999999999999999E-4</v>
      </c>
      <c r="E1174">
        <v>1.044E-2</v>
      </c>
    </row>
    <row r="1175" spans="1:5" ht="14.25" customHeight="1">
      <c r="A1175" s="140">
        <v>42269</v>
      </c>
      <c r="B1175">
        <v>25651.84</v>
      </c>
      <c r="C1175">
        <v>277.89999999999998</v>
      </c>
      <c r="D1175">
        <v>-2.0879999999999999E-2</v>
      </c>
      <c r="E1175">
        <v>-4.3099999999999996E-3</v>
      </c>
    </row>
    <row r="1176" spans="1:5" ht="14.25" customHeight="1">
      <c r="A1176" s="140">
        <v>42270</v>
      </c>
      <c r="B1176">
        <v>25822.99</v>
      </c>
      <c r="C1176">
        <v>276</v>
      </c>
      <c r="D1176">
        <v>6.6499999999999997E-3</v>
      </c>
      <c r="E1176">
        <v>-6.8599999999999998E-3</v>
      </c>
    </row>
    <row r="1177" spans="1:5" ht="14.25" customHeight="1">
      <c r="A1177" s="140">
        <v>42271</v>
      </c>
      <c r="B1177">
        <v>25863.5</v>
      </c>
      <c r="C1177">
        <v>274.85000000000002</v>
      </c>
      <c r="D1177">
        <v>1.57E-3</v>
      </c>
      <c r="E1177">
        <v>-4.1799999999999997E-3</v>
      </c>
    </row>
    <row r="1178" spans="1:5" ht="14.25" customHeight="1">
      <c r="A1178" s="140">
        <v>42275</v>
      </c>
      <c r="B1178">
        <v>25616.84</v>
      </c>
      <c r="C1178">
        <v>274.95</v>
      </c>
      <c r="D1178">
        <v>-9.58E-3</v>
      </c>
      <c r="E1178">
        <v>3.6000000000000002E-4</v>
      </c>
    </row>
    <row r="1179" spans="1:5" ht="14.25" customHeight="1">
      <c r="A1179" s="140">
        <v>42276</v>
      </c>
      <c r="B1179">
        <v>25778.66</v>
      </c>
      <c r="C1179">
        <v>274.60000000000002</v>
      </c>
      <c r="D1179">
        <v>6.3E-3</v>
      </c>
      <c r="E1179">
        <v>-1.2700000000000001E-3</v>
      </c>
    </row>
    <row r="1180" spans="1:5" ht="14.25" customHeight="1">
      <c r="A1180" s="140">
        <v>42277</v>
      </c>
      <c r="B1180">
        <v>26154.83</v>
      </c>
      <c r="C1180">
        <v>276.3</v>
      </c>
      <c r="D1180">
        <v>1.4489999999999999E-2</v>
      </c>
      <c r="E1180">
        <v>6.1700000000000001E-3</v>
      </c>
    </row>
    <row r="1181" spans="1:5" ht="14.25" customHeight="1">
      <c r="A1181" s="140">
        <v>42278</v>
      </c>
      <c r="B1181">
        <v>26220.95</v>
      </c>
      <c r="C1181">
        <v>278.85000000000002</v>
      </c>
      <c r="D1181">
        <v>2.5200000000000001E-3</v>
      </c>
      <c r="E1181">
        <v>9.1900000000000003E-3</v>
      </c>
    </row>
    <row r="1182" spans="1:5" ht="14.25" customHeight="1">
      <c r="A1182" s="140">
        <v>42282</v>
      </c>
      <c r="B1182">
        <v>26785.55</v>
      </c>
      <c r="C1182">
        <v>276</v>
      </c>
      <c r="D1182">
        <v>2.1299999999999999E-2</v>
      </c>
      <c r="E1182">
        <v>-1.027E-2</v>
      </c>
    </row>
    <row r="1183" spans="1:5" ht="14.25" customHeight="1">
      <c r="A1183" s="140">
        <v>42283</v>
      </c>
      <c r="B1183">
        <v>26932.880000000001</v>
      </c>
      <c r="C1183">
        <v>276.60000000000002</v>
      </c>
      <c r="D1183">
        <v>5.4900000000000001E-3</v>
      </c>
      <c r="E1183">
        <v>2.1700000000000001E-3</v>
      </c>
    </row>
    <row r="1184" spans="1:5" ht="14.25" customHeight="1">
      <c r="A1184" s="140">
        <v>42284</v>
      </c>
      <c r="B1184">
        <v>27035.85</v>
      </c>
      <c r="C1184">
        <v>279.64999999999998</v>
      </c>
      <c r="D1184">
        <v>3.82E-3</v>
      </c>
      <c r="E1184">
        <v>1.0970000000000001E-2</v>
      </c>
    </row>
    <row r="1185" spans="1:5" ht="14.25" customHeight="1">
      <c r="A1185" s="140">
        <v>42285</v>
      </c>
      <c r="B1185">
        <v>26845.81</v>
      </c>
      <c r="C1185">
        <v>277.85000000000002</v>
      </c>
      <c r="D1185">
        <v>-7.0499999999999998E-3</v>
      </c>
      <c r="E1185">
        <v>-6.4599999999999996E-3</v>
      </c>
    </row>
    <row r="1186" spans="1:5" ht="14.25" customHeight="1">
      <c r="A1186" s="140">
        <v>42286</v>
      </c>
      <c r="B1186">
        <v>27079.51</v>
      </c>
      <c r="C1186">
        <v>278.85000000000002</v>
      </c>
      <c r="D1186">
        <v>8.6700000000000006E-3</v>
      </c>
      <c r="E1186">
        <v>3.5899999999999999E-3</v>
      </c>
    </row>
    <row r="1187" spans="1:5" ht="14.25" customHeight="1">
      <c r="A1187" s="140">
        <v>42289</v>
      </c>
      <c r="B1187">
        <v>26904.11</v>
      </c>
      <c r="C1187">
        <v>278.89999999999998</v>
      </c>
      <c r="D1187">
        <v>-6.4999999999999997E-3</v>
      </c>
      <c r="E1187">
        <v>1.8000000000000001E-4</v>
      </c>
    </row>
    <row r="1188" spans="1:5" ht="14.25" customHeight="1">
      <c r="A1188" s="140">
        <v>42290</v>
      </c>
      <c r="B1188">
        <v>26846.53</v>
      </c>
      <c r="C1188">
        <v>270.95</v>
      </c>
      <c r="D1188">
        <v>-2.14E-3</v>
      </c>
      <c r="E1188">
        <v>-2.8920000000000001E-2</v>
      </c>
    </row>
    <row r="1189" spans="1:5" ht="14.25" customHeight="1">
      <c r="A1189" s="140">
        <v>42291</v>
      </c>
      <c r="B1189">
        <v>26779.66</v>
      </c>
      <c r="C1189">
        <v>272.60000000000002</v>
      </c>
      <c r="D1189">
        <v>-2.49E-3</v>
      </c>
      <c r="E1189">
        <v>6.0699999999999999E-3</v>
      </c>
    </row>
    <row r="1190" spans="1:5" ht="14.25" customHeight="1">
      <c r="A1190" s="140">
        <v>42292</v>
      </c>
      <c r="B1190">
        <v>27010.14</v>
      </c>
      <c r="C1190">
        <v>271.85000000000002</v>
      </c>
      <c r="D1190">
        <v>8.5699999999999995E-3</v>
      </c>
      <c r="E1190">
        <v>-2.7599999999999999E-3</v>
      </c>
    </row>
    <row r="1191" spans="1:5" ht="14.25" customHeight="1">
      <c r="A1191" s="140">
        <v>42293</v>
      </c>
      <c r="B1191">
        <v>27214.6</v>
      </c>
      <c r="C1191">
        <v>272.55</v>
      </c>
      <c r="D1191">
        <v>7.5399999999999998E-3</v>
      </c>
      <c r="E1191">
        <v>2.5699999999999998E-3</v>
      </c>
    </row>
    <row r="1192" spans="1:5" ht="14.25" customHeight="1">
      <c r="A1192" s="140">
        <v>42296</v>
      </c>
      <c r="B1192">
        <v>27364.92</v>
      </c>
      <c r="C1192">
        <v>272.5</v>
      </c>
      <c r="D1192">
        <v>5.5100000000000001E-3</v>
      </c>
      <c r="E1192">
        <v>-1.8000000000000001E-4</v>
      </c>
    </row>
    <row r="1193" spans="1:5" ht="14.25" customHeight="1">
      <c r="A1193" s="140">
        <v>42297</v>
      </c>
      <c r="B1193">
        <v>27306.83</v>
      </c>
      <c r="C1193">
        <v>271.05</v>
      </c>
      <c r="D1193">
        <v>-2.1299999999999999E-3</v>
      </c>
      <c r="E1193">
        <v>-5.3400000000000001E-3</v>
      </c>
    </row>
    <row r="1194" spans="1:5" ht="14.25" customHeight="1">
      <c r="A1194" s="140">
        <v>42298</v>
      </c>
      <c r="B1194">
        <v>27287.66</v>
      </c>
      <c r="C1194">
        <v>270</v>
      </c>
      <c r="D1194">
        <v>-6.9999999999999999E-4</v>
      </c>
      <c r="E1194">
        <v>-3.8800000000000002E-3</v>
      </c>
    </row>
    <row r="1195" spans="1:5" ht="14.25" customHeight="1">
      <c r="A1195" s="140">
        <v>42300</v>
      </c>
      <c r="B1195">
        <v>27470.81</v>
      </c>
      <c r="C1195">
        <v>262.8</v>
      </c>
      <c r="D1195">
        <v>6.6899999999999998E-3</v>
      </c>
      <c r="E1195">
        <v>-2.7029999999999998E-2</v>
      </c>
    </row>
    <row r="1196" spans="1:5" ht="14.25" customHeight="1">
      <c r="A1196" s="140">
        <v>42303</v>
      </c>
      <c r="B1196">
        <v>27361.96</v>
      </c>
      <c r="C1196">
        <v>267.05</v>
      </c>
      <c r="D1196">
        <v>-3.9699999999999996E-3</v>
      </c>
      <c r="E1196">
        <v>1.6039999999999999E-2</v>
      </c>
    </row>
    <row r="1197" spans="1:5" ht="14.25" customHeight="1">
      <c r="A1197" s="140">
        <v>42304</v>
      </c>
      <c r="B1197">
        <v>27253.439999999999</v>
      </c>
      <c r="C1197">
        <v>270.89999999999998</v>
      </c>
      <c r="D1197">
        <v>-3.9699999999999996E-3</v>
      </c>
      <c r="E1197">
        <v>1.431E-2</v>
      </c>
    </row>
    <row r="1198" spans="1:5" ht="14.25" customHeight="1">
      <c r="A1198" s="140">
        <v>42305</v>
      </c>
      <c r="B1198">
        <v>27039.759999999998</v>
      </c>
      <c r="C1198">
        <v>271.5</v>
      </c>
      <c r="D1198">
        <v>-7.8700000000000003E-3</v>
      </c>
      <c r="E1198">
        <v>2.2100000000000002E-3</v>
      </c>
    </row>
    <row r="1199" spans="1:5" ht="14.25" customHeight="1">
      <c r="A1199" s="140">
        <v>42306</v>
      </c>
      <c r="B1199">
        <v>26838.14</v>
      </c>
      <c r="C1199">
        <v>272.5</v>
      </c>
      <c r="D1199">
        <v>-7.4799999999999997E-3</v>
      </c>
      <c r="E1199">
        <v>3.6800000000000001E-3</v>
      </c>
    </row>
    <row r="1200" spans="1:5" ht="14.25" customHeight="1">
      <c r="A1200" s="140">
        <v>42307</v>
      </c>
      <c r="B1200">
        <v>26656.83</v>
      </c>
      <c r="C1200">
        <v>270.2</v>
      </c>
      <c r="D1200">
        <v>-6.7799999999999996E-3</v>
      </c>
      <c r="E1200">
        <v>-8.4799999999999997E-3</v>
      </c>
    </row>
    <row r="1201" spans="1:5" ht="14.25" customHeight="1">
      <c r="A1201" s="140">
        <v>42310</v>
      </c>
      <c r="B1201">
        <v>26559.15</v>
      </c>
      <c r="C1201">
        <v>269.89999999999998</v>
      </c>
      <c r="D1201">
        <v>-3.6700000000000001E-3</v>
      </c>
      <c r="E1201">
        <v>-1.1100000000000001E-3</v>
      </c>
    </row>
    <row r="1202" spans="1:5" ht="14.25" customHeight="1">
      <c r="A1202" s="140">
        <v>42311</v>
      </c>
      <c r="B1202">
        <v>26590.59</v>
      </c>
      <c r="C1202">
        <v>270.05</v>
      </c>
      <c r="D1202">
        <v>1.1800000000000001E-3</v>
      </c>
      <c r="E1202">
        <v>5.5999999999999995E-4</v>
      </c>
    </row>
    <row r="1203" spans="1:5" ht="14.25" customHeight="1">
      <c r="A1203" s="140">
        <v>42312</v>
      </c>
      <c r="B1203">
        <v>26552.92</v>
      </c>
      <c r="C1203">
        <v>270.2</v>
      </c>
      <c r="D1203">
        <v>-1.42E-3</v>
      </c>
      <c r="E1203">
        <v>5.5999999999999995E-4</v>
      </c>
    </row>
    <row r="1204" spans="1:5" ht="14.25" customHeight="1">
      <c r="A1204" s="140">
        <v>42313</v>
      </c>
      <c r="B1204">
        <v>26304.2</v>
      </c>
      <c r="C1204">
        <v>265.85000000000002</v>
      </c>
      <c r="D1204">
        <v>-9.41E-3</v>
      </c>
      <c r="E1204">
        <v>-1.6230000000000001E-2</v>
      </c>
    </row>
    <row r="1205" spans="1:5" ht="14.25" customHeight="1">
      <c r="A1205" s="140">
        <v>42314</v>
      </c>
      <c r="B1205">
        <v>26265.24</v>
      </c>
      <c r="C1205">
        <v>267.5</v>
      </c>
      <c r="D1205">
        <v>-1.48E-3</v>
      </c>
      <c r="E1205">
        <v>6.1900000000000002E-3</v>
      </c>
    </row>
    <row r="1206" spans="1:5" ht="14.25" customHeight="1">
      <c r="A1206" s="140">
        <v>42317</v>
      </c>
      <c r="B1206">
        <v>26121.4</v>
      </c>
      <c r="C1206">
        <v>266.64999999999998</v>
      </c>
      <c r="D1206">
        <v>-5.4900000000000001E-3</v>
      </c>
      <c r="E1206">
        <v>-3.1800000000000001E-3</v>
      </c>
    </row>
    <row r="1207" spans="1:5" ht="14.25" customHeight="1">
      <c r="A1207" s="140">
        <v>42318</v>
      </c>
      <c r="B1207">
        <v>25743.26</v>
      </c>
      <c r="C1207">
        <v>264.89999999999998</v>
      </c>
      <c r="D1207">
        <v>-1.4579999999999999E-2</v>
      </c>
      <c r="E1207">
        <v>-6.5799999999999999E-3</v>
      </c>
    </row>
    <row r="1208" spans="1:5" ht="14.25" customHeight="1">
      <c r="A1208" s="140">
        <v>42319</v>
      </c>
      <c r="B1208">
        <v>25866.95</v>
      </c>
      <c r="C1208">
        <v>266.55</v>
      </c>
      <c r="D1208">
        <v>4.79E-3</v>
      </c>
      <c r="E1208">
        <v>6.2100000000000002E-3</v>
      </c>
    </row>
    <row r="1209" spans="1:5" ht="14.25" customHeight="1">
      <c r="A1209" s="140">
        <v>42321</v>
      </c>
      <c r="B1209">
        <v>25610.53</v>
      </c>
      <c r="C1209">
        <v>268</v>
      </c>
      <c r="D1209">
        <v>-9.9600000000000001E-3</v>
      </c>
      <c r="E1209">
        <v>5.4299999999999999E-3</v>
      </c>
    </row>
    <row r="1210" spans="1:5" ht="14.25" customHeight="1">
      <c r="A1210" s="140">
        <v>42324</v>
      </c>
      <c r="B1210">
        <v>25760.1</v>
      </c>
      <c r="C1210">
        <v>261.64999999999998</v>
      </c>
      <c r="D1210">
        <v>5.8199999999999997E-3</v>
      </c>
      <c r="E1210">
        <v>-2.3980000000000001E-2</v>
      </c>
    </row>
    <row r="1211" spans="1:5" ht="14.25" customHeight="1">
      <c r="A1211" s="140">
        <v>42325</v>
      </c>
      <c r="B1211">
        <v>25864.47</v>
      </c>
      <c r="C1211">
        <v>264.64999999999998</v>
      </c>
      <c r="D1211">
        <v>4.0400000000000002E-3</v>
      </c>
      <c r="E1211">
        <v>1.14E-2</v>
      </c>
    </row>
    <row r="1212" spans="1:5" ht="14.25" customHeight="1">
      <c r="A1212" s="140">
        <v>42326</v>
      </c>
      <c r="B1212">
        <v>25482.52</v>
      </c>
      <c r="C1212">
        <v>269.05</v>
      </c>
      <c r="D1212">
        <v>-1.4880000000000001E-2</v>
      </c>
      <c r="E1212">
        <v>1.6490000000000001E-2</v>
      </c>
    </row>
    <row r="1213" spans="1:5" ht="14.25" customHeight="1">
      <c r="A1213" s="140">
        <v>42327</v>
      </c>
      <c r="B1213">
        <v>25841.919999999998</v>
      </c>
      <c r="C1213">
        <v>273.2</v>
      </c>
      <c r="D1213">
        <v>1.401E-2</v>
      </c>
      <c r="E1213">
        <v>1.5310000000000001E-2</v>
      </c>
    </row>
    <row r="1214" spans="1:5" ht="14.25" customHeight="1">
      <c r="A1214" s="140">
        <v>42328</v>
      </c>
      <c r="B1214">
        <v>25868.49</v>
      </c>
      <c r="C1214">
        <v>274.75</v>
      </c>
      <c r="D1214">
        <v>1.0300000000000001E-3</v>
      </c>
      <c r="E1214">
        <v>5.6600000000000001E-3</v>
      </c>
    </row>
    <row r="1215" spans="1:5" ht="14.25" customHeight="1">
      <c r="A1215" s="140">
        <v>42331</v>
      </c>
      <c r="B1215">
        <v>25819.34</v>
      </c>
      <c r="C1215">
        <v>274.7</v>
      </c>
      <c r="D1215">
        <v>-1.9E-3</v>
      </c>
      <c r="E1215">
        <v>-1.8000000000000001E-4</v>
      </c>
    </row>
    <row r="1216" spans="1:5" ht="14.25" customHeight="1">
      <c r="A1216" s="140">
        <v>42332</v>
      </c>
      <c r="B1216">
        <v>25775.74</v>
      </c>
      <c r="C1216">
        <v>275.10000000000002</v>
      </c>
      <c r="D1216">
        <v>-1.6900000000000001E-3</v>
      </c>
      <c r="E1216">
        <v>1.4599999999999999E-3</v>
      </c>
    </row>
    <row r="1217" spans="1:5" ht="14.25" customHeight="1">
      <c r="A1217" s="140">
        <v>42334</v>
      </c>
      <c r="B1217">
        <v>25958.63</v>
      </c>
      <c r="C1217">
        <v>279.3</v>
      </c>
      <c r="D1217">
        <v>7.0699999999999999E-3</v>
      </c>
      <c r="E1217">
        <v>1.515E-2</v>
      </c>
    </row>
    <row r="1218" spans="1:5" ht="14.25" customHeight="1">
      <c r="A1218" s="140">
        <v>42335</v>
      </c>
      <c r="B1218">
        <v>26128.2</v>
      </c>
      <c r="C1218">
        <v>275.95</v>
      </c>
      <c r="D1218">
        <v>6.5100000000000002E-3</v>
      </c>
      <c r="E1218">
        <v>-1.2070000000000001E-2</v>
      </c>
    </row>
    <row r="1219" spans="1:5" ht="14.25" customHeight="1">
      <c r="A1219" s="140">
        <v>42338</v>
      </c>
      <c r="B1219">
        <v>26145.67</v>
      </c>
      <c r="C1219">
        <v>273.64999999999998</v>
      </c>
      <c r="D1219">
        <v>6.7000000000000002E-4</v>
      </c>
      <c r="E1219">
        <v>-8.3700000000000007E-3</v>
      </c>
    </row>
    <row r="1220" spans="1:5" ht="14.25" customHeight="1">
      <c r="A1220" s="140">
        <v>42339</v>
      </c>
      <c r="B1220">
        <v>26169.41</v>
      </c>
      <c r="C1220">
        <v>278.8</v>
      </c>
      <c r="D1220">
        <v>9.1E-4</v>
      </c>
      <c r="E1220">
        <v>1.864E-2</v>
      </c>
    </row>
    <row r="1221" spans="1:5" ht="14.25" customHeight="1">
      <c r="A1221" s="140">
        <v>42340</v>
      </c>
      <c r="B1221">
        <v>26117.85</v>
      </c>
      <c r="C1221">
        <v>282.89999999999998</v>
      </c>
      <c r="D1221">
        <v>-1.97E-3</v>
      </c>
      <c r="E1221">
        <v>1.46E-2</v>
      </c>
    </row>
    <row r="1222" spans="1:5" ht="14.25" customHeight="1">
      <c r="A1222" s="140">
        <v>42341</v>
      </c>
      <c r="B1222">
        <v>25886.62</v>
      </c>
      <c r="C1222">
        <v>277.95</v>
      </c>
      <c r="D1222">
        <v>-8.8900000000000003E-3</v>
      </c>
      <c r="E1222">
        <v>-1.7649999999999999E-2</v>
      </c>
    </row>
    <row r="1223" spans="1:5" ht="14.25" customHeight="1">
      <c r="A1223" s="140">
        <v>42342</v>
      </c>
      <c r="B1223">
        <v>25638.11</v>
      </c>
      <c r="C1223">
        <v>272.25</v>
      </c>
      <c r="D1223">
        <v>-9.6500000000000006E-3</v>
      </c>
      <c r="E1223">
        <v>-2.0719999999999999E-2</v>
      </c>
    </row>
    <row r="1224" spans="1:5" ht="14.25" customHeight="1">
      <c r="A1224" s="140">
        <v>42345</v>
      </c>
      <c r="B1224">
        <v>25530.11</v>
      </c>
      <c r="C1224">
        <v>276.35000000000002</v>
      </c>
      <c r="D1224">
        <v>-4.2199999999999998E-3</v>
      </c>
      <c r="E1224">
        <v>1.495E-2</v>
      </c>
    </row>
    <row r="1225" spans="1:5" ht="14.25" customHeight="1">
      <c r="A1225" s="140">
        <v>42346</v>
      </c>
      <c r="B1225">
        <v>25310.33</v>
      </c>
      <c r="C1225">
        <v>275.5</v>
      </c>
      <c r="D1225">
        <v>-8.6499999999999997E-3</v>
      </c>
      <c r="E1225">
        <v>-3.0799999999999998E-3</v>
      </c>
    </row>
    <row r="1226" spans="1:5" ht="14.25" customHeight="1">
      <c r="A1226" s="140">
        <v>42347</v>
      </c>
      <c r="B1226">
        <v>25036.05</v>
      </c>
      <c r="C1226">
        <v>269.60000000000002</v>
      </c>
      <c r="D1226">
        <v>-1.09E-2</v>
      </c>
      <c r="E1226">
        <v>-2.1649999999999999E-2</v>
      </c>
    </row>
    <row r="1227" spans="1:5" ht="14.25" customHeight="1">
      <c r="A1227" s="140">
        <v>42348</v>
      </c>
      <c r="B1227">
        <v>25252.32</v>
      </c>
      <c r="C1227">
        <v>269.55</v>
      </c>
      <c r="D1227">
        <v>8.6E-3</v>
      </c>
      <c r="E1227">
        <v>-1.9000000000000001E-4</v>
      </c>
    </row>
    <row r="1228" spans="1:5" ht="14.25" customHeight="1">
      <c r="A1228" s="140">
        <v>42349</v>
      </c>
      <c r="B1228">
        <v>25044.43</v>
      </c>
      <c r="C1228">
        <v>268.10000000000002</v>
      </c>
      <c r="D1228">
        <v>-8.2699999999999996E-3</v>
      </c>
      <c r="E1228">
        <v>-5.3899999999999998E-3</v>
      </c>
    </row>
    <row r="1229" spans="1:5" ht="14.25" customHeight="1">
      <c r="A1229" s="140">
        <v>42352</v>
      </c>
      <c r="B1229">
        <v>25150.35</v>
      </c>
      <c r="C1229">
        <v>266.5</v>
      </c>
      <c r="D1229">
        <v>4.2199999999999998E-3</v>
      </c>
      <c r="E1229">
        <v>-5.9899999999999997E-3</v>
      </c>
    </row>
    <row r="1230" spans="1:5" ht="14.25" customHeight="1">
      <c r="A1230" s="140">
        <v>42353</v>
      </c>
      <c r="B1230">
        <v>25320.44</v>
      </c>
      <c r="C1230">
        <v>272.45</v>
      </c>
      <c r="D1230">
        <v>6.7400000000000003E-3</v>
      </c>
      <c r="E1230">
        <v>2.2079999999999999E-2</v>
      </c>
    </row>
    <row r="1231" spans="1:5" ht="14.25" customHeight="1">
      <c r="A1231" s="140">
        <v>42354</v>
      </c>
      <c r="B1231">
        <v>25494.37</v>
      </c>
      <c r="C1231">
        <v>269.75</v>
      </c>
      <c r="D1231">
        <v>6.8500000000000002E-3</v>
      </c>
      <c r="E1231">
        <v>-9.9600000000000001E-3</v>
      </c>
    </row>
    <row r="1232" spans="1:5" ht="14.25" customHeight="1">
      <c r="A1232" s="140">
        <v>42355</v>
      </c>
      <c r="B1232">
        <v>25803.78</v>
      </c>
      <c r="C1232">
        <v>275</v>
      </c>
      <c r="D1232">
        <v>1.206E-2</v>
      </c>
      <c r="E1232">
        <v>1.9279999999999999E-2</v>
      </c>
    </row>
    <row r="1233" spans="1:5" ht="14.25" customHeight="1">
      <c r="A1233" s="140">
        <v>42356</v>
      </c>
      <c r="B1233">
        <v>25519.22</v>
      </c>
      <c r="C1233">
        <v>274.35000000000002</v>
      </c>
      <c r="D1233">
        <v>-1.1089999999999999E-2</v>
      </c>
      <c r="E1233">
        <v>-2.3700000000000001E-3</v>
      </c>
    </row>
    <row r="1234" spans="1:5" ht="14.25" customHeight="1">
      <c r="A1234" s="140">
        <v>42359</v>
      </c>
      <c r="B1234">
        <v>25735.9</v>
      </c>
      <c r="C1234">
        <v>277.85000000000002</v>
      </c>
      <c r="D1234">
        <v>8.4600000000000005E-3</v>
      </c>
      <c r="E1234">
        <v>1.268E-2</v>
      </c>
    </row>
    <row r="1235" spans="1:5" ht="14.25" customHeight="1">
      <c r="A1235" s="140">
        <v>42360</v>
      </c>
      <c r="B1235">
        <v>25590.65</v>
      </c>
      <c r="C1235">
        <v>278.39999999999998</v>
      </c>
      <c r="D1235">
        <v>-5.6600000000000001E-3</v>
      </c>
      <c r="E1235">
        <v>1.98E-3</v>
      </c>
    </row>
    <row r="1236" spans="1:5" ht="14.25" customHeight="1">
      <c r="A1236" s="140">
        <v>42361</v>
      </c>
      <c r="B1236">
        <v>25850.3</v>
      </c>
      <c r="C1236">
        <v>278.45</v>
      </c>
      <c r="D1236">
        <v>1.01E-2</v>
      </c>
      <c r="E1236">
        <v>1.8000000000000001E-4</v>
      </c>
    </row>
    <row r="1237" spans="1:5" ht="14.25" customHeight="1">
      <c r="A1237" s="140">
        <v>42362</v>
      </c>
      <c r="B1237">
        <v>25838.71</v>
      </c>
      <c r="C1237">
        <v>276.95</v>
      </c>
      <c r="D1237">
        <v>-4.4999999999999999E-4</v>
      </c>
      <c r="E1237">
        <v>-5.4000000000000003E-3</v>
      </c>
    </row>
    <row r="1238" spans="1:5" ht="14.25" customHeight="1">
      <c r="A1238" s="140">
        <v>42366</v>
      </c>
      <c r="B1238">
        <v>26034.13</v>
      </c>
      <c r="C1238">
        <v>276.64999999999998</v>
      </c>
      <c r="D1238">
        <v>7.5300000000000002E-3</v>
      </c>
      <c r="E1238">
        <v>-1.08E-3</v>
      </c>
    </row>
    <row r="1239" spans="1:5" ht="14.25" customHeight="1">
      <c r="A1239" s="140">
        <v>42367</v>
      </c>
      <c r="B1239">
        <v>26079.48</v>
      </c>
      <c r="C1239">
        <v>277.85000000000002</v>
      </c>
      <c r="D1239">
        <v>1.74E-3</v>
      </c>
      <c r="E1239">
        <v>4.3299999999999996E-3</v>
      </c>
    </row>
    <row r="1240" spans="1:5" ht="14.25" customHeight="1">
      <c r="A1240" s="140">
        <v>42368</v>
      </c>
      <c r="B1240">
        <v>25960.03</v>
      </c>
      <c r="C1240">
        <v>275.2</v>
      </c>
      <c r="D1240">
        <v>-4.5900000000000003E-3</v>
      </c>
      <c r="E1240">
        <v>-9.58E-3</v>
      </c>
    </row>
    <row r="1241" spans="1:5" ht="14.25" customHeight="1">
      <c r="A1241" s="140">
        <v>42369</v>
      </c>
      <c r="B1241">
        <v>26117.54</v>
      </c>
      <c r="C1241">
        <v>276.60000000000002</v>
      </c>
      <c r="D1241">
        <v>6.0499999999999998E-3</v>
      </c>
      <c r="E1241">
        <v>5.0699999999999999E-3</v>
      </c>
    </row>
    <row r="1242" spans="1:5" ht="14.25" customHeight="1">
      <c r="A1242" s="140">
        <v>42370</v>
      </c>
      <c r="B1242">
        <v>26160.9</v>
      </c>
      <c r="C1242">
        <v>276.3</v>
      </c>
      <c r="D1242">
        <v>1.66E-3</v>
      </c>
      <c r="E1242">
        <v>-1.09E-3</v>
      </c>
    </row>
    <row r="1243" spans="1:5" ht="14.25" customHeight="1">
      <c r="A1243" s="140">
        <v>42373</v>
      </c>
      <c r="B1243">
        <v>25623.35</v>
      </c>
      <c r="C1243">
        <v>276.5</v>
      </c>
      <c r="D1243">
        <v>-2.0760000000000001E-2</v>
      </c>
      <c r="E1243">
        <v>7.2000000000000005E-4</v>
      </c>
    </row>
    <row r="1244" spans="1:5" ht="14.25" customHeight="1">
      <c r="A1244" s="140">
        <v>42374</v>
      </c>
      <c r="B1244">
        <v>25580.34</v>
      </c>
      <c r="C1244">
        <v>276.14999999999998</v>
      </c>
      <c r="D1244">
        <v>-1.6800000000000001E-3</v>
      </c>
      <c r="E1244">
        <v>-1.2700000000000001E-3</v>
      </c>
    </row>
    <row r="1245" spans="1:5" ht="14.25" customHeight="1">
      <c r="A1245" s="140">
        <v>42375</v>
      </c>
      <c r="B1245">
        <v>25406.33</v>
      </c>
      <c r="C1245">
        <v>275.8</v>
      </c>
      <c r="D1245">
        <v>-6.8300000000000001E-3</v>
      </c>
      <c r="E1245">
        <v>-1.2700000000000001E-3</v>
      </c>
    </row>
    <row r="1246" spans="1:5" ht="14.25" customHeight="1">
      <c r="A1246" s="140">
        <v>42376</v>
      </c>
      <c r="B1246">
        <v>24851.83</v>
      </c>
      <c r="C1246">
        <v>266.2</v>
      </c>
      <c r="D1246">
        <v>-2.2069999999999999E-2</v>
      </c>
      <c r="E1246">
        <v>-3.5430000000000003E-2</v>
      </c>
    </row>
    <row r="1247" spans="1:5" ht="14.25" customHeight="1">
      <c r="A1247" s="140">
        <v>42377</v>
      </c>
      <c r="B1247">
        <v>24934.33</v>
      </c>
      <c r="C1247">
        <v>268.89999999999998</v>
      </c>
      <c r="D1247">
        <v>3.31E-3</v>
      </c>
      <c r="E1247">
        <v>1.009E-2</v>
      </c>
    </row>
    <row r="1248" spans="1:5" ht="14.25" customHeight="1">
      <c r="A1248" s="140">
        <v>42380</v>
      </c>
      <c r="B1248">
        <v>24825.040000000001</v>
      </c>
      <c r="C1248">
        <v>263.10000000000002</v>
      </c>
      <c r="D1248">
        <v>-4.3899999999999998E-3</v>
      </c>
      <c r="E1248">
        <v>-2.181E-2</v>
      </c>
    </row>
    <row r="1249" spans="1:5" ht="14.25" customHeight="1">
      <c r="A1249" s="140">
        <v>42381</v>
      </c>
      <c r="B1249">
        <v>24682.03</v>
      </c>
      <c r="C1249">
        <v>254.85</v>
      </c>
      <c r="D1249">
        <v>-5.7800000000000004E-3</v>
      </c>
      <c r="E1249">
        <v>-3.1859999999999999E-2</v>
      </c>
    </row>
    <row r="1250" spans="1:5" ht="14.25" customHeight="1">
      <c r="A1250" s="140">
        <v>42382</v>
      </c>
      <c r="B1250">
        <v>24854.11</v>
      </c>
      <c r="C1250">
        <v>256.95</v>
      </c>
      <c r="D1250">
        <v>6.9499999999999996E-3</v>
      </c>
      <c r="E1250">
        <v>8.2100000000000003E-3</v>
      </c>
    </row>
    <row r="1251" spans="1:5" ht="14.25" customHeight="1">
      <c r="A1251" s="140">
        <v>42383</v>
      </c>
      <c r="B1251">
        <v>24772.97</v>
      </c>
      <c r="C1251">
        <v>259.95</v>
      </c>
      <c r="D1251">
        <v>-3.2699999999999999E-3</v>
      </c>
      <c r="E1251">
        <v>1.1610000000000001E-2</v>
      </c>
    </row>
    <row r="1252" spans="1:5" ht="14.25" customHeight="1">
      <c r="A1252" s="140">
        <v>42384</v>
      </c>
      <c r="B1252">
        <v>24455.040000000001</v>
      </c>
      <c r="C1252">
        <v>251.2</v>
      </c>
      <c r="D1252">
        <v>-1.2919999999999999E-2</v>
      </c>
      <c r="E1252">
        <v>-3.424E-2</v>
      </c>
    </row>
    <row r="1253" spans="1:5" ht="14.25" customHeight="1">
      <c r="A1253" s="140">
        <v>42387</v>
      </c>
      <c r="B1253">
        <v>24188.37</v>
      </c>
      <c r="C1253">
        <v>247.1</v>
      </c>
      <c r="D1253">
        <v>-1.0959999999999999E-2</v>
      </c>
      <c r="E1253">
        <v>-1.6459999999999999E-2</v>
      </c>
    </row>
    <row r="1254" spans="1:5" ht="14.25" customHeight="1">
      <c r="A1254" s="140">
        <v>42388</v>
      </c>
      <c r="B1254">
        <v>24479.84</v>
      </c>
      <c r="C1254">
        <v>250</v>
      </c>
      <c r="D1254">
        <v>1.1979999999999999E-2</v>
      </c>
      <c r="E1254">
        <v>1.167E-2</v>
      </c>
    </row>
    <row r="1255" spans="1:5" ht="14.25" customHeight="1">
      <c r="A1255" s="140">
        <v>42389</v>
      </c>
      <c r="B1255">
        <v>24062.04</v>
      </c>
      <c r="C1255">
        <v>249</v>
      </c>
      <c r="D1255">
        <v>-1.721E-2</v>
      </c>
      <c r="E1255">
        <v>-4.0099999999999997E-3</v>
      </c>
    </row>
    <row r="1256" spans="1:5" ht="14.25" customHeight="1">
      <c r="A1256" s="140">
        <v>42390</v>
      </c>
      <c r="B1256">
        <v>23962.21</v>
      </c>
      <c r="C1256">
        <v>241</v>
      </c>
      <c r="D1256">
        <v>-4.1599999999999996E-3</v>
      </c>
      <c r="E1256">
        <v>-3.2660000000000002E-2</v>
      </c>
    </row>
    <row r="1257" spans="1:5" ht="14.25" customHeight="1">
      <c r="A1257" s="140">
        <v>42391</v>
      </c>
      <c r="B1257">
        <v>24435.66</v>
      </c>
      <c r="C1257">
        <v>241.5</v>
      </c>
      <c r="D1257">
        <v>1.9570000000000001E-2</v>
      </c>
      <c r="E1257">
        <v>2.0699999999999998E-3</v>
      </c>
    </row>
    <row r="1258" spans="1:5" ht="14.25" customHeight="1">
      <c r="A1258" s="140">
        <v>42394</v>
      </c>
      <c r="B1258">
        <v>24485.95</v>
      </c>
      <c r="C1258">
        <v>237.8</v>
      </c>
      <c r="D1258">
        <v>2.0600000000000002E-3</v>
      </c>
      <c r="E1258">
        <v>-1.5440000000000001E-2</v>
      </c>
    </row>
    <row r="1259" spans="1:5" ht="14.25" customHeight="1">
      <c r="A1259" s="140">
        <v>42396</v>
      </c>
      <c r="B1259">
        <v>24492.39</v>
      </c>
      <c r="C1259">
        <v>237</v>
      </c>
      <c r="D1259">
        <v>2.5999999999999998E-4</v>
      </c>
      <c r="E1259">
        <v>-3.3700000000000002E-3</v>
      </c>
    </row>
    <row r="1260" spans="1:5" ht="14.25" customHeight="1">
      <c r="A1260" s="140">
        <v>42397</v>
      </c>
      <c r="B1260">
        <v>24469.57</v>
      </c>
      <c r="C1260">
        <v>243.2</v>
      </c>
      <c r="D1260">
        <v>-9.3000000000000005E-4</v>
      </c>
      <c r="E1260">
        <v>2.5819999999999999E-2</v>
      </c>
    </row>
    <row r="1261" spans="1:5" ht="14.25" customHeight="1">
      <c r="A1261" s="140">
        <v>42398</v>
      </c>
      <c r="B1261">
        <v>24870.69</v>
      </c>
      <c r="C1261">
        <v>250.05</v>
      </c>
      <c r="D1261">
        <v>1.626E-2</v>
      </c>
      <c r="E1261">
        <v>2.7779999999999999E-2</v>
      </c>
    </row>
    <row r="1262" spans="1:5" ht="14.25" customHeight="1">
      <c r="A1262" s="140">
        <v>42401</v>
      </c>
      <c r="B1262">
        <v>24824.83</v>
      </c>
      <c r="C1262">
        <v>250.65</v>
      </c>
      <c r="D1262">
        <v>-1.8500000000000001E-3</v>
      </c>
      <c r="E1262">
        <v>2.3999999999999998E-3</v>
      </c>
    </row>
    <row r="1263" spans="1:5" ht="14.25" customHeight="1">
      <c r="A1263" s="140">
        <v>42402</v>
      </c>
      <c r="B1263">
        <v>24539</v>
      </c>
      <c r="C1263">
        <v>241.4</v>
      </c>
      <c r="D1263">
        <v>-1.158E-2</v>
      </c>
      <c r="E1263">
        <v>-3.7600000000000001E-2</v>
      </c>
    </row>
    <row r="1264" spans="1:5" ht="14.25" customHeight="1">
      <c r="A1264" s="140">
        <v>42403</v>
      </c>
      <c r="B1264">
        <v>24223.32</v>
      </c>
      <c r="C1264">
        <v>242.8</v>
      </c>
      <c r="D1264">
        <v>-1.295E-2</v>
      </c>
      <c r="E1264">
        <v>5.7800000000000004E-3</v>
      </c>
    </row>
    <row r="1265" spans="1:5" ht="14.25" customHeight="1">
      <c r="A1265" s="140">
        <v>42404</v>
      </c>
      <c r="B1265">
        <v>24338.43</v>
      </c>
      <c r="C1265">
        <v>247.2</v>
      </c>
      <c r="D1265">
        <v>4.7400000000000003E-3</v>
      </c>
      <c r="E1265">
        <v>1.796E-2</v>
      </c>
    </row>
    <row r="1266" spans="1:5" ht="14.25" customHeight="1">
      <c r="A1266" s="140">
        <v>42405</v>
      </c>
      <c r="B1266">
        <v>24616.97</v>
      </c>
      <c r="C1266">
        <v>250.65</v>
      </c>
      <c r="D1266">
        <v>1.1379999999999999E-2</v>
      </c>
      <c r="E1266">
        <v>1.3860000000000001E-2</v>
      </c>
    </row>
    <row r="1267" spans="1:5" ht="14.25" customHeight="1">
      <c r="A1267" s="140">
        <v>42408</v>
      </c>
      <c r="B1267">
        <v>24287.42</v>
      </c>
      <c r="C1267">
        <v>250.9</v>
      </c>
      <c r="D1267">
        <v>-1.3480000000000001E-2</v>
      </c>
      <c r="E1267">
        <v>1E-3</v>
      </c>
    </row>
    <row r="1268" spans="1:5" ht="14.25" customHeight="1">
      <c r="A1268" s="140">
        <v>42409</v>
      </c>
      <c r="B1268">
        <v>24020.98</v>
      </c>
      <c r="C1268">
        <v>248.4</v>
      </c>
      <c r="D1268">
        <v>-1.103E-2</v>
      </c>
      <c r="E1268">
        <v>-1.001E-2</v>
      </c>
    </row>
    <row r="1269" spans="1:5" ht="14.25" customHeight="1">
      <c r="A1269" s="140">
        <v>42410</v>
      </c>
      <c r="B1269">
        <v>23758.9</v>
      </c>
      <c r="C1269">
        <v>242.4</v>
      </c>
      <c r="D1269">
        <v>-1.0970000000000001E-2</v>
      </c>
      <c r="E1269">
        <v>-2.445E-2</v>
      </c>
    </row>
    <row r="1270" spans="1:5" ht="14.25" customHeight="1">
      <c r="A1270" s="140">
        <v>42411</v>
      </c>
      <c r="B1270">
        <v>22951.83</v>
      </c>
      <c r="C1270">
        <v>238.25</v>
      </c>
      <c r="D1270">
        <v>-3.456E-2</v>
      </c>
      <c r="E1270">
        <v>-1.7270000000000001E-2</v>
      </c>
    </row>
    <row r="1271" spans="1:5" ht="14.25" customHeight="1">
      <c r="A1271" s="140">
        <v>42412</v>
      </c>
      <c r="B1271">
        <v>22986.12</v>
      </c>
      <c r="C1271">
        <v>247.2</v>
      </c>
      <c r="D1271">
        <v>1.49E-3</v>
      </c>
      <c r="E1271">
        <v>3.6880000000000003E-2</v>
      </c>
    </row>
    <row r="1272" spans="1:5" ht="14.25" customHeight="1">
      <c r="A1272" s="140">
        <v>42415</v>
      </c>
      <c r="B1272">
        <v>23554.12</v>
      </c>
      <c r="C1272">
        <v>248</v>
      </c>
      <c r="D1272">
        <v>2.4410000000000001E-2</v>
      </c>
      <c r="E1272">
        <v>3.2299999999999998E-3</v>
      </c>
    </row>
    <row r="1273" spans="1:5" ht="14.25" customHeight="1">
      <c r="A1273" s="140">
        <v>42416</v>
      </c>
      <c r="B1273">
        <v>23191.97</v>
      </c>
      <c r="C1273">
        <v>244.5</v>
      </c>
      <c r="D1273">
        <v>-1.549E-2</v>
      </c>
      <c r="E1273">
        <v>-1.421E-2</v>
      </c>
    </row>
    <row r="1274" spans="1:5" ht="14.25" customHeight="1">
      <c r="A1274" s="140">
        <v>42417</v>
      </c>
      <c r="B1274">
        <v>23381.87</v>
      </c>
      <c r="C1274">
        <v>241.15</v>
      </c>
      <c r="D1274">
        <v>8.1499999999999993E-3</v>
      </c>
      <c r="E1274">
        <v>-1.38E-2</v>
      </c>
    </row>
    <row r="1275" spans="1:5" ht="14.25" customHeight="1">
      <c r="A1275" s="140">
        <v>42418</v>
      </c>
      <c r="B1275">
        <v>23649.22</v>
      </c>
      <c r="C1275">
        <v>243.45</v>
      </c>
      <c r="D1275">
        <v>1.137E-2</v>
      </c>
      <c r="E1275">
        <v>9.4900000000000002E-3</v>
      </c>
    </row>
    <row r="1276" spans="1:5" ht="14.25" customHeight="1">
      <c r="A1276" s="140">
        <v>42419</v>
      </c>
      <c r="B1276">
        <v>23709.15</v>
      </c>
      <c r="C1276">
        <v>244.25</v>
      </c>
      <c r="D1276">
        <v>2.5300000000000001E-3</v>
      </c>
      <c r="E1276">
        <v>3.2799999999999999E-3</v>
      </c>
    </row>
    <row r="1277" spans="1:5" ht="14.25" customHeight="1">
      <c r="A1277" s="140">
        <v>42422</v>
      </c>
      <c r="B1277">
        <v>23788.79</v>
      </c>
      <c r="C1277">
        <v>248.65</v>
      </c>
      <c r="D1277">
        <v>3.3500000000000001E-3</v>
      </c>
      <c r="E1277">
        <v>1.7850000000000001E-2</v>
      </c>
    </row>
    <row r="1278" spans="1:5" ht="14.25" customHeight="1">
      <c r="A1278" s="140">
        <v>42423</v>
      </c>
      <c r="B1278">
        <v>23410.18</v>
      </c>
      <c r="C1278">
        <v>238.1</v>
      </c>
      <c r="D1278">
        <v>-1.6039999999999999E-2</v>
      </c>
      <c r="E1278">
        <v>-4.3360000000000003E-2</v>
      </c>
    </row>
    <row r="1279" spans="1:5" ht="14.25" customHeight="1">
      <c r="A1279" s="140">
        <v>42424</v>
      </c>
      <c r="B1279">
        <v>23088.93</v>
      </c>
      <c r="C1279">
        <v>236.35</v>
      </c>
      <c r="D1279">
        <v>-1.3820000000000001E-2</v>
      </c>
      <c r="E1279">
        <v>-7.3800000000000003E-3</v>
      </c>
    </row>
    <row r="1280" spans="1:5" ht="14.25" customHeight="1">
      <c r="A1280" s="140">
        <v>42425</v>
      </c>
      <c r="B1280">
        <v>22976</v>
      </c>
      <c r="C1280">
        <v>238.4</v>
      </c>
      <c r="D1280">
        <v>-4.8999999999999998E-3</v>
      </c>
      <c r="E1280">
        <v>8.6400000000000001E-3</v>
      </c>
    </row>
    <row r="1281" spans="1:5" ht="14.25" customHeight="1">
      <c r="A1281" s="140">
        <v>42426</v>
      </c>
      <c r="B1281">
        <v>23154.3</v>
      </c>
      <c r="C1281">
        <v>240.35</v>
      </c>
      <c r="D1281">
        <v>7.7299999999999999E-3</v>
      </c>
      <c r="E1281">
        <v>8.1499999999999993E-3</v>
      </c>
    </row>
    <row r="1282" spans="1:5" ht="14.25" customHeight="1">
      <c r="A1282" s="140">
        <v>42429</v>
      </c>
      <c r="B1282">
        <v>23002</v>
      </c>
      <c r="C1282">
        <v>237.8</v>
      </c>
      <c r="D1282">
        <v>-6.6E-3</v>
      </c>
      <c r="E1282">
        <v>-1.0670000000000001E-2</v>
      </c>
    </row>
    <row r="1283" spans="1:5" ht="14.25" customHeight="1">
      <c r="A1283" s="140">
        <v>42430</v>
      </c>
      <c r="B1283">
        <v>23779.35</v>
      </c>
      <c r="C1283">
        <v>241.9</v>
      </c>
      <c r="D1283">
        <v>3.3239999999999999E-2</v>
      </c>
      <c r="E1283">
        <v>1.7090000000000001E-2</v>
      </c>
    </row>
    <row r="1284" spans="1:5" ht="14.25" customHeight="1">
      <c r="A1284" s="140">
        <v>42431</v>
      </c>
      <c r="B1284">
        <v>24242.98</v>
      </c>
      <c r="C1284">
        <v>243.5</v>
      </c>
      <c r="D1284">
        <v>1.9310000000000001E-2</v>
      </c>
      <c r="E1284">
        <v>6.5900000000000004E-3</v>
      </c>
    </row>
    <row r="1285" spans="1:5" ht="14.25" customHeight="1">
      <c r="A1285" s="140">
        <v>42432</v>
      </c>
      <c r="B1285">
        <v>24606.99</v>
      </c>
      <c r="C1285">
        <v>245.3</v>
      </c>
      <c r="D1285">
        <v>1.49E-2</v>
      </c>
      <c r="E1285">
        <v>7.3699999999999998E-3</v>
      </c>
    </row>
    <row r="1286" spans="1:5" ht="14.25" customHeight="1">
      <c r="A1286" s="140">
        <v>42433</v>
      </c>
      <c r="B1286">
        <v>24646.48</v>
      </c>
      <c r="C1286">
        <v>248.75</v>
      </c>
      <c r="D1286">
        <v>1.6000000000000001E-3</v>
      </c>
      <c r="E1286">
        <v>1.397E-2</v>
      </c>
    </row>
    <row r="1287" spans="1:5" ht="14.25" customHeight="1">
      <c r="A1287" s="140">
        <v>42437</v>
      </c>
      <c r="B1287">
        <v>24659.23</v>
      </c>
      <c r="C1287">
        <v>247.7</v>
      </c>
      <c r="D1287">
        <v>5.1999999999999995E-4</v>
      </c>
      <c r="E1287">
        <v>-4.2300000000000003E-3</v>
      </c>
    </row>
    <row r="1288" spans="1:5" ht="14.25" customHeight="1">
      <c r="A1288" s="140">
        <v>42438</v>
      </c>
      <c r="B1288">
        <v>24793.96</v>
      </c>
      <c r="C1288">
        <v>245.35</v>
      </c>
      <c r="D1288">
        <v>5.45E-3</v>
      </c>
      <c r="E1288">
        <v>-9.5300000000000003E-3</v>
      </c>
    </row>
    <row r="1289" spans="1:5" ht="14.25" customHeight="1">
      <c r="A1289" s="140">
        <v>42439</v>
      </c>
      <c r="B1289">
        <v>24623.34</v>
      </c>
      <c r="C1289">
        <v>246</v>
      </c>
      <c r="D1289">
        <v>-6.9100000000000003E-3</v>
      </c>
      <c r="E1289">
        <v>2.65E-3</v>
      </c>
    </row>
    <row r="1290" spans="1:5" ht="14.25" customHeight="1">
      <c r="A1290" s="140">
        <v>42440</v>
      </c>
      <c r="B1290">
        <v>24717.99</v>
      </c>
      <c r="C1290">
        <v>249.7</v>
      </c>
      <c r="D1290">
        <v>3.8400000000000001E-3</v>
      </c>
      <c r="E1290">
        <v>1.4930000000000001E-2</v>
      </c>
    </row>
    <row r="1291" spans="1:5" ht="14.25" customHeight="1">
      <c r="A1291" s="140">
        <v>42443</v>
      </c>
      <c r="B1291">
        <v>24804.28</v>
      </c>
      <c r="C1291">
        <v>250.1</v>
      </c>
      <c r="D1291">
        <v>3.48E-3</v>
      </c>
      <c r="E1291">
        <v>1.6000000000000001E-3</v>
      </c>
    </row>
    <row r="1292" spans="1:5" ht="14.25" customHeight="1">
      <c r="A1292" s="140">
        <v>42444</v>
      </c>
      <c r="B1292">
        <v>24551.17</v>
      </c>
      <c r="C1292">
        <v>247.4</v>
      </c>
      <c r="D1292">
        <v>-1.026E-2</v>
      </c>
      <c r="E1292">
        <v>-1.085E-2</v>
      </c>
    </row>
    <row r="1293" spans="1:5" ht="14.25" customHeight="1">
      <c r="A1293" s="140">
        <v>42445</v>
      </c>
      <c r="B1293">
        <v>24682.48</v>
      </c>
      <c r="C1293">
        <v>246.7</v>
      </c>
      <c r="D1293">
        <v>5.3299999999999997E-3</v>
      </c>
      <c r="E1293">
        <v>-2.8300000000000001E-3</v>
      </c>
    </row>
    <row r="1294" spans="1:5" ht="14.25" customHeight="1">
      <c r="A1294" s="140">
        <v>42446</v>
      </c>
      <c r="B1294">
        <v>24677.37</v>
      </c>
      <c r="C1294">
        <v>247.55</v>
      </c>
      <c r="D1294">
        <v>-2.1000000000000001E-4</v>
      </c>
      <c r="E1294">
        <v>3.4399999999999999E-3</v>
      </c>
    </row>
    <row r="1295" spans="1:5" ht="14.25" customHeight="1">
      <c r="A1295" s="140">
        <v>42447</v>
      </c>
      <c r="B1295">
        <v>24952.74</v>
      </c>
      <c r="C1295">
        <v>249.4</v>
      </c>
      <c r="D1295">
        <v>1.11E-2</v>
      </c>
      <c r="E1295">
        <v>7.45E-3</v>
      </c>
    </row>
    <row r="1296" spans="1:5" ht="14.25" customHeight="1">
      <c r="A1296" s="140">
        <v>42450</v>
      </c>
      <c r="B1296">
        <v>25285.37</v>
      </c>
      <c r="C1296">
        <v>252.7</v>
      </c>
      <c r="D1296">
        <v>1.324E-2</v>
      </c>
      <c r="E1296">
        <v>1.3140000000000001E-2</v>
      </c>
    </row>
    <row r="1297" spans="1:5" ht="14.25" customHeight="1">
      <c r="A1297" s="140">
        <v>42451</v>
      </c>
      <c r="B1297">
        <v>25330.49</v>
      </c>
      <c r="C1297">
        <v>249.5</v>
      </c>
      <c r="D1297">
        <v>1.7799999999999999E-3</v>
      </c>
      <c r="E1297">
        <v>-1.274E-2</v>
      </c>
    </row>
    <row r="1298" spans="1:5" ht="14.25" customHeight="1">
      <c r="A1298" s="140">
        <v>42452</v>
      </c>
      <c r="B1298">
        <v>25337.56</v>
      </c>
      <c r="C1298">
        <v>248.85</v>
      </c>
      <c r="D1298">
        <v>2.7999999999999998E-4</v>
      </c>
      <c r="E1298">
        <v>-2.6099999999999999E-3</v>
      </c>
    </row>
    <row r="1299" spans="1:5" ht="14.25" customHeight="1">
      <c r="A1299" s="140">
        <v>42457</v>
      </c>
      <c r="B1299">
        <v>24966.400000000001</v>
      </c>
      <c r="C1299">
        <v>243.2</v>
      </c>
      <c r="D1299">
        <v>-1.4760000000000001E-2</v>
      </c>
      <c r="E1299">
        <v>-2.2970000000000001E-2</v>
      </c>
    </row>
    <row r="1300" spans="1:5" ht="14.25" customHeight="1">
      <c r="A1300" s="140">
        <v>42458</v>
      </c>
      <c r="B1300">
        <v>24900.46</v>
      </c>
      <c r="C1300">
        <v>244.6</v>
      </c>
      <c r="D1300">
        <v>-2.64E-3</v>
      </c>
      <c r="E1300">
        <v>5.7400000000000003E-3</v>
      </c>
    </row>
    <row r="1301" spans="1:5" ht="14.25" customHeight="1">
      <c r="A1301" s="140">
        <v>42459</v>
      </c>
      <c r="B1301">
        <v>25338.58</v>
      </c>
      <c r="C1301">
        <v>246.65</v>
      </c>
      <c r="D1301">
        <v>1.7440000000000001E-2</v>
      </c>
      <c r="E1301">
        <v>8.3499999999999998E-3</v>
      </c>
    </row>
    <row r="1302" spans="1:5" ht="14.25" customHeight="1">
      <c r="A1302" s="140">
        <v>42460</v>
      </c>
      <c r="B1302">
        <v>25341.86</v>
      </c>
      <c r="C1302">
        <v>249.15</v>
      </c>
      <c r="D1302">
        <v>1.2999999999999999E-4</v>
      </c>
      <c r="E1302">
        <v>1.008E-2</v>
      </c>
    </row>
    <row r="1303" spans="1:5" ht="14.25" customHeight="1">
      <c r="A1303" s="140">
        <v>42461</v>
      </c>
      <c r="B1303">
        <v>25269.64</v>
      </c>
      <c r="C1303">
        <v>250.45</v>
      </c>
      <c r="D1303">
        <v>-2.8500000000000001E-3</v>
      </c>
      <c r="E1303">
        <v>5.1999999999999998E-3</v>
      </c>
    </row>
    <row r="1304" spans="1:5" ht="14.25" customHeight="1">
      <c r="A1304" s="140">
        <v>42464</v>
      </c>
      <c r="B1304">
        <v>25399.65</v>
      </c>
      <c r="C1304">
        <v>248.95</v>
      </c>
      <c r="D1304">
        <v>5.13E-3</v>
      </c>
      <c r="E1304">
        <v>-6.0099999999999997E-3</v>
      </c>
    </row>
    <row r="1305" spans="1:5" ht="14.25" customHeight="1">
      <c r="A1305" s="140">
        <v>42465</v>
      </c>
      <c r="B1305">
        <v>24883.59</v>
      </c>
      <c r="C1305">
        <v>245.6</v>
      </c>
      <c r="D1305">
        <v>-2.053E-2</v>
      </c>
      <c r="E1305">
        <v>-1.355E-2</v>
      </c>
    </row>
    <row r="1306" spans="1:5" ht="14.25" customHeight="1">
      <c r="A1306" s="140">
        <v>42466</v>
      </c>
      <c r="B1306">
        <v>24900.63</v>
      </c>
      <c r="C1306">
        <v>247.6</v>
      </c>
      <c r="D1306">
        <v>6.8000000000000005E-4</v>
      </c>
      <c r="E1306">
        <v>8.1099999999999992E-3</v>
      </c>
    </row>
    <row r="1307" spans="1:5" ht="14.25" customHeight="1">
      <c r="A1307" s="140">
        <v>42467</v>
      </c>
      <c r="B1307">
        <v>24685.42</v>
      </c>
      <c r="C1307">
        <v>247.75</v>
      </c>
      <c r="D1307">
        <v>-8.6800000000000002E-3</v>
      </c>
      <c r="E1307">
        <v>6.0999999999999997E-4</v>
      </c>
    </row>
    <row r="1308" spans="1:5" ht="14.25" customHeight="1">
      <c r="A1308" s="140">
        <v>42468</v>
      </c>
      <c r="B1308">
        <v>24673.84</v>
      </c>
      <c r="C1308">
        <v>249.75</v>
      </c>
      <c r="D1308">
        <v>-4.6999999999999999E-4</v>
      </c>
      <c r="E1308">
        <v>8.0400000000000003E-3</v>
      </c>
    </row>
    <row r="1309" spans="1:5" ht="14.25" customHeight="1">
      <c r="A1309" s="140">
        <v>42471</v>
      </c>
      <c r="B1309">
        <v>25022.16</v>
      </c>
      <c r="C1309">
        <v>252.4</v>
      </c>
      <c r="D1309">
        <v>1.4019999999999999E-2</v>
      </c>
      <c r="E1309">
        <v>1.055E-2</v>
      </c>
    </row>
    <row r="1310" spans="1:5" ht="14.25" customHeight="1">
      <c r="A1310" s="140">
        <v>42472</v>
      </c>
      <c r="B1310">
        <v>25145.59</v>
      </c>
      <c r="C1310">
        <v>261.8</v>
      </c>
      <c r="D1310">
        <v>4.9199999999999999E-3</v>
      </c>
      <c r="E1310">
        <v>3.6569999999999998E-2</v>
      </c>
    </row>
    <row r="1311" spans="1:5" ht="14.25" customHeight="1">
      <c r="A1311" s="140">
        <v>42473</v>
      </c>
      <c r="B1311">
        <v>25626.75</v>
      </c>
      <c r="C1311">
        <v>266.75</v>
      </c>
      <c r="D1311">
        <v>1.8950000000000002E-2</v>
      </c>
      <c r="E1311">
        <v>1.873E-2</v>
      </c>
    </row>
    <row r="1312" spans="1:5" ht="14.25" customHeight="1">
      <c r="A1312" s="140">
        <v>42478</v>
      </c>
      <c r="B1312">
        <v>25816.36</v>
      </c>
      <c r="C1312">
        <v>273.35000000000002</v>
      </c>
      <c r="D1312">
        <v>7.3699999999999998E-3</v>
      </c>
      <c r="E1312">
        <v>2.444E-2</v>
      </c>
    </row>
    <row r="1313" spans="1:5" ht="14.25" customHeight="1">
      <c r="A1313" s="140">
        <v>42480</v>
      </c>
      <c r="B1313">
        <v>25844.18</v>
      </c>
      <c r="C1313">
        <v>267.60000000000002</v>
      </c>
      <c r="D1313">
        <v>1.08E-3</v>
      </c>
      <c r="E1313">
        <v>-2.1260000000000001E-2</v>
      </c>
    </row>
    <row r="1314" spans="1:5" ht="14.25" customHeight="1">
      <c r="A1314" s="140">
        <v>42481</v>
      </c>
      <c r="B1314">
        <v>25880.38</v>
      </c>
      <c r="C1314">
        <v>267.60000000000002</v>
      </c>
      <c r="D1314">
        <v>1.4E-3</v>
      </c>
      <c r="E1314">
        <v>0</v>
      </c>
    </row>
    <row r="1315" spans="1:5" ht="14.25" customHeight="1">
      <c r="A1315" s="140">
        <v>42482</v>
      </c>
      <c r="B1315">
        <v>25838.14</v>
      </c>
      <c r="C1315">
        <v>265.5</v>
      </c>
      <c r="D1315">
        <v>-1.6299999999999999E-3</v>
      </c>
      <c r="E1315">
        <v>-7.8799999999999999E-3</v>
      </c>
    </row>
    <row r="1316" spans="1:5" ht="14.25" customHeight="1">
      <c r="A1316" s="140">
        <v>42485</v>
      </c>
      <c r="B1316">
        <v>25678.93</v>
      </c>
      <c r="C1316">
        <v>266.8</v>
      </c>
      <c r="D1316">
        <v>-6.1799999999999997E-3</v>
      </c>
      <c r="E1316">
        <v>4.8799999999999998E-3</v>
      </c>
    </row>
    <row r="1317" spans="1:5" ht="14.25" customHeight="1">
      <c r="A1317" s="140">
        <v>42486</v>
      </c>
      <c r="B1317">
        <v>26007.3</v>
      </c>
      <c r="C1317">
        <v>266.55</v>
      </c>
      <c r="D1317">
        <v>1.2710000000000001E-2</v>
      </c>
      <c r="E1317">
        <v>-9.3999999999999997E-4</v>
      </c>
    </row>
    <row r="1318" spans="1:5" ht="14.25" customHeight="1">
      <c r="A1318" s="140">
        <v>42487</v>
      </c>
      <c r="B1318">
        <v>26064.12</v>
      </c>
      <c r="C1318">
        <v>272.25</v>
      </c>
      <c r="D1318">
        <v>2.1800000000000001E-3</v>
      </c>
      <c r="E1318">
        <v>2.1160000000000002E-2</v>
      </c>
    </row>
    <row r="1319" spans="1:5" ht="14.25" customHeight="1">
      <c r="A1319" s="140">
        <v>42488</v>
      </c>
      <c r="B1319">
        <v>25603.1</v>
      </c>
      <c r="C1319">
        <v>269.39999999999998</v>
      </c>
      <c r="D1319">
        <v>-1.7850000000000001E-2</v>
      </c>
      <c r="E1319">
        <v>-1.052E-2</v>
      </c>
    </row>
    <row r="1320" spans="1:5" ht="14.25" customHeight="1">
      <c r="A1320" s="140">
        <v>42489</v>
      </c>
      <c r="B1320">
        <v>25606.62</v>
      </c>
      <c r="C1320">
        <v>275.55</v>
      </c>
      <c r="D1320">
        <v>1.3999999999999999E-4</v>
      </c>
      <c r="E1320">
        <v>2.257E-2</v>
      </c>
    </row>
    <row r="1321" spans="1:5" ht="14.25" customHeight="1">
      <c r="A1321" s="140">
        <v>42492</v>
      </c>
      <c r="B1321">
        <v>25436.97</v>
      </c>
      <c r="C1321">
        <v>295.85000000000002</v>
      </c>
      <c r="D1321">
        <v>-6.6499999999999997E-3</v>
      </c>
      <c r="E1321">
        <v>7.1080000000000004E-2</v>
      </c>
    </row>
    <row r="1322" spans="1:5" ht="14.25" customHeight="1">
      <c r="A1322" s="140">
        <v>42493</v>
      </c>
      <c r="B1322">
        <v>25229.7</v>
      </c>
      <c r="C1322">
        <v>290.14999999999998</v>
      </c>
      <c r="D1322">
        <v>-8.1799999999999998E-3</v>
      </c>
      <c r="E1322">
        <v>-1.9449999999999999E-2</v>
      </c>
    </row>
    <row r="1323" spans="1:5" ht="14.25" customHeight="1">
      <c r="A1323" s="140">
        <v>42494</v>
      </c>
      <c r="B1323">
        <v>25101.73</v>
      </c>
      <c r="C1323">
        <v>282.14999999999998</v>
      </c>
      <c r="D1323">
        <v>-5.0899999999999999E-3</v>
      </c>
      <c r="E1323">
        <v>-2.7959999999999999E-2</v>
      </c>
    </row>
    <row r="1324" spans="1:5" ht="14.25" customHeight="1">
      <c r="A1324" s="140">
        <v>42495</v>
      </c>
      <c r="B1324">
        <v>25262.21</v>
      </c>
      <c r="C1324">
        <v>282.8</v>
      </c>
      <c r="D1324">
        <v>6.3699999999999998E-3</v>
      </c>
      <c r="E1324">
        <v>2.3E-3</v>
      </c>
    </row>
    <row r="1325" spans="1:5" ht="14.25" customHeight="1">
      <c r="A1325" s="140">
        <v>42496</v>
      </c>
      <c r="B1325">
        <v>25228.5</v>
      </c>
      <c r="C1325">
        <v>288.35000000000002</v>
      </c>
      <c r="D1325">
        <v>-1.34E-3</v>
      </c>
      <c r="E1325">
        <v>1.9439999999999999E-2</v>
      </c>
    </row>
    <row r="1326" spans="1:5" ht="14.25" customHeight="1">
      <c r="A1326" s="140">
        <v>42499</v>
      </c>
      <c r="B1326">
        <v>25688.86</v>
      </c>
      <c r="C1326">
        <v>287.60000000000002</v>
      </c>
      <c r="D1326">
        <v>1.8079999999999999E-2</v>
      </c>
      <c r="E1326">
        <v>-2.5999999999999999E-3</v>
      </c>
    </row>
    <row r="1327" spans="1:5" ht="14.25" customHeight="1">
      <c r="A1327" s="140">
        <v>42500</v>
      </c>
      <c r="B1327">
        <v>25772.53</v>
      </c>
      <c r="C1327">
        <v>290.85000000000002</v>
      </c>
      <c r="D1327">
        <v>3.2499999999999999E-3</v>
      </c>
      <c r="E1327">
        <v>1.124E-2</v>
      </c>
    </row>
    <row r="1328" spans="1:5" ht="14.25" customHeight="1">
      <c r="A1328" s="140">
        <v>42501</v>
      </c>
      <c r="B1328">
        <v>25597.02</v>
      </c>
      <c r="C1328">
        <v>292.3</v>
      </c>
      <c r="D1328">
        <v>-6.8300000000000001E-3</v>
      </c>
      <c r="E1328">
        <v>4.9699999999999996E-3</v>
      </c>
    </row>
    <row r="1329" spans="1:5" ht="14.25" customHeight="1">
      <c r="A1329" s="140">
        <v>42502</v>
      </c>
      <c r="B1329">
        <v>25790.22</v>
      </c>
      <c r="C1329">
        <v>291.10000000000002</v>
      </c>
      <c r="D1329">
        <v>7.5199999999999998E-3</v>
      </c>
      <c r="E1329">
        <v>-4.1099999999999999E-3</v>
      </c>
    </row>
    <row r="1330" spans="1:5" ht="14.25" customHeight="1">
      <c r="A1330" s="140">
        <v>42503</v>
      </c>
      <c r="B1330">
        <v>25489.57</v>
      </c>
      <c r="C1330">
        <v>289.55</v>
      </c>
      <c r="D1330">
        <v>-1.1730000000000001E-2</v>
      </c>
      <c r="E1330">
        <v>-5.3400000000000001E-3</v>
      </c>
    </row>
    <row r="1331" spans="1:5" ht="14.25" customHeight="1">
      <c r="A1331" s="140">
        <v>42506</v>
      </c>
      <c r="B1331">
        <v>25653.23</v>
      </c>
      <c r="C1331">
        <v>285.60000000000002</v>
      </c>
      <c r="D1331">
        <v>6.4000000000000003E-3</v>
      </c>
      <c r="E1331">
        <v>-1.374E-2</v>
      </c>
    </row>
    <row r="1332" spans="1:5" ht="14.25" customHeight="1">
      <c r="A1332" s="140">
        <v>42507</v>
      </c>
      <c r="B1332">
        <v>25773.61</v>
      </c>
      <c r="C1332">
        <v>281.85000000000002</v>
      </c>
      <c r="D1332">
        <v>4.6800000000000001E-3</v>
      </c>
      <c r="E1332">
        <v>-1.3220000000000001E-2</v>
      </c>
    </row>
    <row r="1333" spans="1:5" ht="14.25" customHeight="1">
      <c r="A1333" s="140">
        <v>42508</v>
      </c>
      <c r="B1333">
        <v>25704.61</v>
      </c>
      <c r="C1333">
        <v>286.45</v>
      </c>
      <c r="D1333">
        <v>-2.6800000000000001E-3</v>
      </c>
      <c r="E1333">
        <v>1.619E-2</v>
      </c>
    </row>
    <row r="1334" spans="1:5" ht="14.25" customHeight="1">
      <c r="A1334" s="140">
        <v>42509</v>
      </c>
      <c r="B1334">
        <v>25399.72</v>
      </c>
      <c r="C1334">
        <v>281.5</v>
      </c>
      <c r="D1334">
        <v>-1.193E-2</v>
      </c>
      <c r="E1334">
        <v>-1.7430000000000001E-2</v>
      </c>
    </row>
    <row r="1335" spans="1:5" ht="14.25" customHeight="1">
      <c r="A1335" s="140">
        <v>42510</v>
      </c>
      <c r="B1335">
        <v>25301.9</v>
      </c>
      <c r="C1335">
        <v>277.25</v>
      </c>
      <c r="D1335">
        <v>-3.8600000000000001E-3</v>
      </c>
      <c r="E1335">
        <v>-1.521E-2</v>
      </c>
    </row>
    <row r="1336" spans="1:5" ht="14.25" customHeight="1">
      <c r="A1336" s="140">
        <v>42513</v>
      </c>
      <c r="B1336">
        <v>25230.36</v>
      </c>
      <c r="C1336">
        <v>284.7</v>
      </c>
      <c r="D1336">
        <v>-2.8300000000000001E-3</v>
      </c>
      <c r="E1336">
        <v>2.6519999999999998E-2</v>
      </c>
    </row>
    <row r="1337" spans="1:5" ht="14.25" customHeight="1">
      <c r="A1337" s="140">
        <v>42514</v>
      </c>
      <c r="B1337">
        <v>25305.47</v>
      </c>
      <c r="C1337">
        <v>283.10000000000002</v>
      </c>
      <c r="D1337">
        <v>2.97E-3</v>
      </c>
      <c r="E1337">
        <v>-5.64E-3</v>
      </c>
    </row>
    <row r="1338" spans="1:5" ht="14.25" customHeight="1">
      <c r="A1338" s="140">
        <v>42515</v>
      </c>
      <c r="B1338">
        <v>25881.17</v>
      </c>
      <c r="C1338">
        <v>288.75</v>
      </c>
      <c r="D1338">
        <v>2.2499999999999999E-2</v>
      </c>
      <c r="E1338">
        <v>1.976E-2</v>
      </c>
    </row>
    <row r="1339" spans="1:5" ht="14.25" customHeight="1">
      <c r="A1339" s="140">
        <v>42516</v>
      </c>
      <c r="B1339">
        <v>26366.68</v>
      </c>
      <c r="C1339">
        <v>294.05</v>
      </c>
      <c r="D1339">
        <v>1.8589999999999999E-2</v>
      </c>
      <c r="E1339">
        <v>1.8190000000000001E-2</v>
      </c>
    </row>
    <row r="1340" spans="1:5" ht="14.25" customHeight="1">
      <c r="A1340" s="140">
        <v>42517</v>
      </c>
      <c r="B1340">
        <v>26653.599999999999</v>
      </c>
      <c r="C1340">
        <v>296</v>
      </c>
      <c r="D1340">
        <v>1.082E-2</v>
      </c>
      <c r="E1340">
        <v>6.6100000000000004E-3</v>
      </c>
    </row>
    <row r="1341" spans="1:5" ht="14.25" customHeight="1">
      <c r="A1341" s="140">
        <v>42520</v>
      </c>
      <c r="B1341">
        <v>26725.599999999999</v>
      </c>
      <c r="C1341">
        <v>297.8</v>
      </c>
      <c r="D1341">
        <v>2.7000000000000001E-3</v>
      </c>
      <c r="E1341">
        <v>6.0600000000000003E-3</v>
      </c>
    </row>
    <row r="1342" spans="1:5" ht="14.25" customHeight="1">
      <c r="A1342" s="140">
        <v>42521</v>
      </c>
      <c r="B1342">
        <v>26667.96</v>
      </c>
      <c r="C1342">
        <v>290</v>
      </c>
      <c r="D1342">
        <v>-2.16E-3</v>
      </c>
      <c r="E1342">
        <v>-2.6540000000000001E-2</v>
      </c>
    </row>
    <row r="1343" spans="1:5" ht="14.25" customHeight="1">
      <c r="A1343" s="140">
        <v>42522</v>
      </c>
      <c r="B1343">
        <v>26713.93</v>
      </c>
      <c r="C1343">
        <v>290.25</v>
      </c>
      <c r="D1343">
        <v>1.72E-3</v>
      </c>
      <c r="E1343">
        <v>8.5999999999999998E-4</v>
      </c>
    </row>
    <row r="1344" spans="1:5" ht="14.25" customHeight="1">
      <c r="A1344" s="140">
        <v>42523</v>
      </c>
      <c r="B1344">
        <v>26843.14</v>
      </c>
      <c r="C1344">
        <v>298.25</v>
      </c>
      <c r="D1344">
        <v>4.8300000000000001E-3</v>
      </c>
      <c r="E1344">
        <v>2.7189999999999999E-2</v>
      </c>
    </row>
    <row r="1345" spans="1:5" ht="14.25" customHeight="1">
      <c r="A1345" s="140">
        <v>42524</v>
      </c>
      <c r="B1345">
        <v>26843.03</v>
      </c>
      <c r="C1345">
        <v>305.35000000000002</v>
      </c>
      <c r="D1345">
        <v>0</v>
      </c>
      <c r="E1345">
        <v>2.3529999999999999E-2</v>
      </c>
    </row>
    <row r="1346" spans="1:5" ht="14.25" customHeight="1">
      <c r="A1346" s="140">
        <v>42527</v>
      </c>
      <c r="B1346">
        <v>26777.45</v>
      </c>
      <c r="C1346">
        <v>303.2</v>
      </c>
      <c r="D1346">
        <v>-2.4499999999999999E-3</v>
      </c>
      <c r="E1346">
        <v>-7.0699999999999999E-3</v>
      </c>
    </row>
    <row r="1347" spans="1:5" ht="14.25" customHeight="1">
      <c r="A1347" s="140">
        <v>42528</v>
      </c>
      <c r="B1347">
        <v>27009.67</v>
      </c>
      <c r="C1347">
        <v>306.45</v>
      </c>
      <c r="D1347">
        <v>8.6300000000000005E-3</v>
      </c>
      <c r="E1347">
        <v>1.0659999999999999E-2</v>
      </c>
    </row>
    <row r="1348" spans="1:5" ht="14.25" customHeight="1">
      <c r="A1348" s="140">
        <v>42529</v>
      </c>
      <c r="B1348">
        <v>27020.66</v>
      </c>
      <c r="C1348">
        <v>307.55</v>
      </c>
      <c r="D1348">
        <v>4.0999999999999999E-4</v>
      </c>
      <c r="E1348">
        <v>3.5799999999999998E-3</v>
      </c>
    </row>
    <row r="1349" spans="1:5" ht="14.25" customHeight="1">
      <c r="A1349" s="140">
        <v>42530</v>
      </c>
      <c r="B1349">
        <v>26763.46</v>
      </c>
      <c r="C1349">
        <v>303.25</v>
      </c>
      <c r="D1349">
        <v>-9.5600000000000008E-3</v>
      </c>
      <c r="E1349">
        <v>-1.4080000000000001E-2</v>
      </c>
    </row>
    <row r="1350" spans="1:5" ht="14.25" customHeight="1">
      <c r="A1350" s="140">
        <v>42531</v>
      </c>
      <c r="B1350">
        <v>26635.75</v>
      </c>
      <c r="C1350">
        <v>302</v>
      </c>
      <c r="D1350">
        <v>-4.7800000000000004E-3</v>
      </c>
      <c r="E1350">
        <v>-4.13E-3</v>
      </c>
    </row>
    <row r="1351" spans="1:5" ht="14.25" customHeight="1">
      <c r="A1351" s="140">
        <v>42534</v>
      </c>
      <c r="B1351">
        <v>26396.77</v>
      </c>
      <c r="C1351">
        <v>303.3</v>
      </c>
      <c r="D1351">
        <v>-9.0100000000000006E-3</v>
      </c>
      <c r="E1351">
        <v>4.3E-3</v>
      </c>
    </row>
    <row r="1352" spans="1:5" ht="14.25" customHeight="1">
      <c r="A1352" s="140">
        <v>42535</v>
      </c>
      <c r="B1352">
        <v>26395.71</v>
      </c>
      <c r="C1352">
        <v>307.25</v>
      </c>
      <c r="D1352">
        <v>-4.0000000000000003E-5</v>
      </c>
      <c r="E1352">
        <v>1.294E-2</v>
      </c>
    </row>
    <row r="1353" spans="1:5" ht="14.25" customHeight="1">
      <c r="A1353" s="140">
        <v>42536</v>
      </c>
      <c r="B1353">
        <v>26726.34</v>
      </c>
      <c r="C1353">
        <v>311.5</v>
      </c>
      <c r="D1353">
        <v>1.2449999999999999E-2</v>
      </c>
      <c r="E1353">
        <v>1.374E-2</v>
      </c>
    </row>
    <row r="1354" spans="1:5" ht="14.25" customHeight="1">
      <c r="A1354" s="140">
        <v>42537</v>
      </c>
      <c r="B1354">
        <v>26525.46</v>
      </c>
      <c r="C1354">
        <v>313.2</v>
      </c>
      <c r="D1354">
        <v>-7.5399999999999998E-3</v>
      </c>
      <c r="E1354">
        <v>5.4400000000000004E-3</v>
      </c>
    </row>
    <row r="1355" spans="1:5" ht="14.25" customHeight="1">
      <c r="A1355" s="140">
        <v>42538</v>
      </c>
      <c r="B1355">
        <v>26625.91</v>
      </c>
      <c r="C1355">
        <v>314.85000000000002</v>
      </c>
      <c r="D1355">
        <v>3.7799999999999999E-3</v>
      </c>
      <c r="E1355">
        <v>5.2500000000000003E-3</v>
      </c>
    </row>
    <row r="1356" spans="1:5" ht="14.25" customHeight="1">
      <c r="A1356" s="140">
        <v>42541</v>
      </c>
      <c r="B1356">
        <v>26866.92</v>
      </c>
      <c r="C1356">
        <v>313.2</v>
      </c>
      <c r="D1356">
        <v>9.0100000000000006E-3</v>
      </c>
      <c r="E1356">
        <v>-5.2500000000000003E-3</v>
      </c>
    </row>
    <row r="1357" spans="1:5" ht="14.25" customHeight="1">
      <c r="A1357" s="140">
        <v>42542</v>
      </c>
      <c r="B1357">
        <v>26812.78</v>
      </c>
      <c r="C1357">
        <v>309.85000000000002</v>
      </c>
      <c r="D1357">
        <v>-2.0200000000000001E-3</v>
      </c>
      <c r="E1357">
        <v>-1.0749999999999999E-2</v>
      </c>
    </row>
    <row r="1358" spans="1:5" ht="14.25" customHeight="1">
      <c r="A1358" s="140">
        <v>42543</v>
      </c>
      <c r="B1358">
        <v>26765.65</v>
      </c>
      <c r="C1358">
        <v>309.60000000000002</v>
      </c>
      <c r="D1358">
        <v>-1.7600000000000001E-3</v>
      </c>
      <c r="E1358">
        <v>-8.0999999999999996E-4</v>
      </c>
    </row>
    <row r="1359" spans="1:5" ht="14.25" customHeight="1">
      <c r="A1359" s="140">
        <v>42544</v>
      </c>
      <c r="B1359">
        <v>27002.22</v>
      </c>
      <c r="C1359">
        <v>306.64999999999998</v>
      </c>
      <c r="D1359">
        <v>8.8000000000000005E-3</v>
      </c>
      <c r="E1359">
        <v>-9.5700000000000004E-3</v>
      </c>
    </row>
    <row r="1360" spans="1:5" ht="14.25" customHeight="1">
      <c r="A1360" s="140">
        <v>42545</v>
      </c>
      <c r="B1360">
        <v>26397.71</v>
      </c>
      <c r="C1360">
        <v>311</v>
      </c>
      <c r="D1360">
        <v>-2.264E-2</v>
      </c>
      <c r="E1360">
        <v>1.409E-2</v>
      </c>
    </row>
    <row r="1361" spans="1:5" ht="14.25" customHeight="1">
      <c r="A1361" s="140">
        <v>42548</v>
      </c>
      <c r="B1361">
        <v>26402.959999999999</v>
      </c>
      <c r="C1361">
        <v>318.45</v>
      </c>
      <c r="D1361">
        <v>2.0000000000000001E-4</v>
      </c>
      <c r="E1361">
        <v>2.367E-2</v>
      </c>
    </row>
    <row r="1362" spans="1:5" ht="14.25" customHeight="1">
      <c r="A1362" s="140">
        <v>42549</v>
      </c>
      <c r="B1362">
        <v>26524.55</v>
      </c>
      <c r="C1362">
        <v>312.7</v>
      </c>
      <c r="D1362">
        <v>4.5900000000000003E-3</v>
      </c>
      <c r="E1362">
        <v>-1.822E-2</v>
      </c>
    </row>
    <row r="1363" spans="1:5" ht="14.25" customHeight="1">
      <c r="A1363" s="140">
        <v>42550</v>
      </c>
      <c r="B1363">
        <v>26740.39</v>
      </c>
      <c r="C1363">
        <v>304.64999999999998</v>
      </c>
      <c r="D1363">
        <v>8.0999999999999996E-3</v>
      </c>
      <c r="E1363">
        <v>-2.6079999999999999E-2</v>
      </c>
    </row>
    <row r="1364" spans="1:5" ht="14.25" customHeight="1">
      <c r="A1364" s="140">
        <v>42551</v>
      </c>
      <c r="B1364">
        <v>26999.72</v>
      </c>
      <c r="C1364">
        <v>308.2</v>
      </c>
      <c r="D1364">
        <v>9.6500000000000006E-3</v>
      </c>
      <c r="E1364">
        <v>1.159E-2</v>
      </c>
    </row>
    <row r="1365" spans="1:5" ht="14.25" customHeight="1">
      <c r="A1365" s="140">
        <v>42552</v>
      </c>
      <c r="B1365">
        <v>27144.91</v>
      </c>
      <c r="C1365">
        <v>310.7</v>
      </c>
      <c r="D1365">
        <v>5.3600000000000002E-3</v>
      </c>
      <c r="E1365">
        <v>8.0800000000000004E-3</v>
      </c>
    </row>
    <row r="1366" spans="1:5" ht="14.25" customHeight="1">
      <c r="A1366" s="140">
        <v>42555</v>
      </c>
      <c r="B1366">
        <v>27278.76</v>
      </c>
      <c r="C1366">
        <v>308.39999999999998</v>
      </c>
      <c r="D1366">
        <v>4.9199999999999999E-3</v>
      </c>
      <c r="E1366">
        <v>-7.43E-3</v>
      </c>
    </row>
    <row r="1367" spans="1:5" ht="14.25" customHeight="1">
      <c r="A1367" s="140">
        <v>42556</v>
      </c>
      <c r="B1367">
        <v>27166.87</v>
      </c>
      <c r="C1367">
        <v>307.85000000000002</v>
      </c>
      <c r="D1367">
        <v>-4.1099999999999999E-3</v>
      </c>
      <c r="E1367">
        <v>-1.7799999999999999E-3</v>
      </c>
    </row>
    <row r="1368" spans="1:5" ht="14.25" customHeight="1">
      <c r="A1368" s="140">
        <v>42558</v>
      </c>
      <c r="B1368">
        <v>27201.49</v>
      </c>
      <c r="C1368">
        <v>314.60000000000002</v>
      </c>
      <c r="D1368">
        <v>1.2700000000000001E-3</v>
      </c>
      <c r="E1368">
        <v>2.1690000000000001E-2</v>
      </c>
    </row>
    <row r="1369" spans="1:5" ht="14.25" customHeight="1">
      <c r="A1369" s="140">
        <v>42559</v>
      </c>
      <c r="B1369">
        <v>27126.9</v>
      </c>
      <c r="C1369">
        <v>312.14999999999998</v>
      </c>
      <c r="D1369">
        <v>-2.7499999999999998E-3</v>
      </c>
      <c r="E1369">
        <v>-7.8200000000000006E-3</v>
      </c>
    </row>
    <row r="1370" spans="1:5" ht="14.25" customHeight="1">
      <c r="A1370" s="140">
        <v>42562</v>
      </c>
      <c r="B1370">
        <v>27626.69</v>
      </c>
      <c r="C1370">
        <v>314.85000000000002</v>
      </c>
      <c r="D1370">
        <v>1.8259999999999998E-2</v>
      </c>
      <c r="E1370">
        <v>8.6099999999999996E-3</v>
      </c>
    </row>
    <row r="1371" spans="1:5" ht="14.25" customHeight="1">
      <c r="A1371" s="140">
        <v>42563</v>
      </c>
      <c r="B1371">
        <v>27808.14</v>
      </c>
      <c r="C1371">
        <v>314.05</v>
      </c>
      <c r="D1371">
        <v>6.5500000000000003E-3</v>
      </c>
      <c r="E1371">
        <v>-2.5400000000000002E-3</v>
      </c>
    </row>
    <row r="1372" spans="1:5" ht="14.25" customHeight="1">
      <c r="A1372" s="140">
        <v>42564</v>
      </c>
      <c r="B1372">
        <v>27815.18</v>
      </c>
      <c r="C1372">
        <v>316.8</v>
      </c>
      <c r="D1372">
        <v>2.5000000000000001E-4</v>
      </c>
      <c r="E1372">
        <v>8.7200000000000003E-3</v>
      </c>
    </row>
    <row r="1373" spans="1:5" ht="14.25" customHeight="1">
      <c r="A1373" s="140">
        <v>42565</v>
      </c>
      <c r="B1373">
        <v>27942.11</v>
      </c>
      <c r="C1373">
        <v>314</v>
      </c>
      <c r="D1373">
        <v>4.5500000000000002E-3</v>
      </c>
      <c r="E1373">
        <v>-8.8800000000000007E-3</v>
      </c>
    </row>
    <row r="1374" spans="1:5" ht="14.25" customHeight="1">
      <c r="A1374" s="140">
        <v>42566</v>
      </c>
      <c r="B1374">
        <v>27836.5</v>
      </c>
      <c r="C1374">
        <v>311.64999999999998</v>
      </c>
      <c r="D1374">
        <v>-3.79E-3</v>
      </c>
      <c r="E1374">
        <v>-7.5100000000000002E-3</v>
      </c>
    </row>
    <row r="1375" spans="1:5" ht="14.25" customHeight="1">
      <c r="A1375" s="140">
        <v>42569</v>
      </c>
      <c r="B1375">
        <v>27746.66</v>
      </c>
      <c r="C1375">
        <v>313.35000000000002</v>
      </c>
      <c r="D1375">
        <v>-3.2299999999999998E-3</v>
      </c>
      <c r="E1375">
        <v>5.4400000000000004E-3</v>
      </c>
    </row>
    <row r="1376" spans="1:5" ht="14.25" customHeight="1">
      <c r="A1376" s="140">
        <v>42570</v>
      </c>
      <c r="B1376">
        <v>27787.62</v>
      </c>
      <c r="C1376">
        <v>310.60000000000002</v>
      </c>
      <c r="D1376">
        <v>1.48E-3</v>
      </c>
      <c r="E1376">
        <v>-8.8100000000000001E-3</v>
      </c>
    </row>
    <row r="1377" spans="1:5" ht="14.25" customHeight="1">
      <c r="A1377" s="140">
        <v>42571</v>
      </c>
      <c r="B1377">
        <v>27915.89</v>
      </c>
      <c r="C1377">
        <v>303.75</v>
      </c>
      <c r="D1377">
        <v>4.6100000000000004E-3</v>
      </c>
      <c r="E1377">
        <v>-2.23E-2</v>
      </c>
    </row>
    <row r="1378" spans="1:5" ht="14.25" customHeight="1">
      <c r="A1378" s="140">
        <v>42572</v>
      </c>
      <c r="B1378">
        <v>27710.52</v>
      </c>
      <c r="C1378">
        <v>304.10000000000002</v>
      </c>
      <c r="D1378">
        <v>-7.3800000000000003E-3</v>
      </c>
      <c r="E1378">
        <v>1.15E-3</v>
      </c>
    </row>
    <row r="1379" spans="1:5" ht="14.25" customHeight="1">
      <c r="A1379" s="140">
        <v>42573</v>
      </c>
      <c r="B1379">
        <v>27803.24</v>
      </c>
      <c r="C1379">
        <v>307.8</v>
      </c>
      <c r="D1379">
        <v>3.3400000000000001E-3</v>
      </c>
      <c r="E1379">
        <v>1.209E-2</v>
      </c>
    </row>
    <row r="1380" spans="1:5" ht="14.25" customHeight="1">
      <c r="A1380" s="140">
        <v>42576</v>
      </c>
      <c r="B1380">
        <v>28095.34</v>
      </c>
      <c r="C1380">
        <v>306</v>
      </c>
      <c r="D1380">
        <v>1.0449999999999999E-2</v>
      </c>
      <c r="E1380">
        <v>-5.8700000000000002E-3</v>
      </c>
    </row>
    <row r="1381" spans="1:5" ht="14.25" customHeight="1">
      <c r="A1381" s="140">
        <v>42577</v>
      </c>
      <c r="B1381">
        <v>27976.52</v>
      </c>
      <c r="C1381">
        <v>303.35000000000002</v>
      </c>
      <c r="D1381">
        <v>-4.2399999999999998E-3</v>
      </c>
      <c r="E1381">
        <v>-8.6999999999999994E-3</v>
      </c>
    </row>
    <row r="1382" spans="1:5" ht="14.25" customHeight="1">
      <c r="A1382" s="140">
        <v>42578</v>
      </c>
      <c r="B1382">
        <v>28024.33</v>
      </c>
      <c r="C1382">
        <v>307.5</v>
      </c>
      <c r="D1382">
        <v>1.7099999999999999E-3</v>
      </c>
      <c r="E1382">
        <v>1.359E-2</v>
      </c>
    </row>
    <row r="1383" spans="1:5" ht="14.25" customHeight="1">
      <c r="A1383" s="140">
        <v>42579</v>
      </c>
      <c r="B1383">
        <v>28208.62</v>
      </c>
      <c r="C1383">
        <v>307.95</v>
      </c>
      <c r="D1383">
        <v>6.5500000000000003E-3</v>
      </c>
      <c r="E1383">
        <v>1.4599999999999999E-3</v>
      </c>
    </row>
    <row r="1384" spans="1:5" ht="14.25" customHeight="1">
      <c r="A1384" s="140">
        <v>42580</v>
      </c>
      <c r="B1384">
        <v>28051.86</v>
      </c>
      <c r="C1384">
        <v>303.7</v>
      </c>
      <c r="D1384">
        <v>-5.5700000000000003E-3</v>
      </c>
      <c r="E1384">
        <v>-1.3899999999999999E-2</v>
      </c>
    </row>
    <row r="1385" spans="1:5" ht="14.25" customHeight="1">
      <c r="A1385" s="140">
        <v>42583</v>
      </c>
      <c r="B1385">
        <v>28003.119999999999</v>
      </c>
      <c r="C1385">
        <v>301.5</v>
      </c>
      <c r="D1385">
        <v>-1.74E-3</v>
      </c>
      <c r="E1385">
        <v>-7.2700000000000004E-3</v>
      </c>
    </row>
    <row r="1386" spans="1:5" ht="14.25" customHeight="1">
      <c r="A1386" s="140">
        <v>42584</v>
      </c>
      <c r="B1386">
        <v>27981.71</v>
      </c>
      <c r="C1386">
        <v>301.64999999999998</v>
      </c>
      <c r="D1386">
        <v>-7.6000000000000004E-4</v>
      </c>
      <c r="E1386">
        <v>5.0000000000000001E-4</v>
      </c>
    </row>
    <row r="1387" spans="1:5" ht="14.25" customHeight="1">
      <c r="A1387" s="140">
        <v>42585</v>
      </c>
      <c r="B1387">
        <v>27697.51</v>
      </c>
      <c r="C1387">
        <v>296.55</v>
      </c>
      <c r="D1387">
        <v>-1.021E-2</v>
      </c>
      <c r="E1387">
        <v>-1.7049999999999999E-2</v>
      </c>
    </row>
    <row r="1388" spans="1:5" ht="14.25" customHeight="1">
      <c r="A1388" s="140">
        <v>42586</v>
      </c>
      <c r="B1388">
        <v>27714.37</v>
      </c>
      <c r="C1388">
        <v>295.8</v>
      </c>
      <c r="D1388">
        <v>6.0999999999999997E-4</v>
      </c>
      <c r="E1388">
        <v>-2.5300000000000001E-3</v>
      </c>
    </row>
    <row r="1389" spans="1:5" ht="14.25" customHeight="1">
      <c r="A1389" s="140">
        <v>42587</v>
      </c>
      <c r="B1389">
        <v>28078.35</v>
      </c>
      <c r="C1389">
        <v>296</v>
      </c>
      <c r="D1389">
        <v>1.3050000000000001E-2</v>
      </c>
      <c r="E1389">
        <v>6.8000000000000005E-4</v>
      </c>
    </row>
    <row r="1390" spans="1:5" ht="14.25" customHeight="1">
      <c r="A1390" s="140">
        <v>42590</v>
      </c>
      <c r="B1390">
        <v>28182.57</v>
      </c>
      <c r="C1390">
        <v>293.10000000000002</v>
      </c>
      <c r="D1390">
        <v>3.7000000000000002E-3</v>
      </c>
      <c r="E1390">
        <v>-9.8499999999999994E-3</v>
      </c>
    </row>
    <row r="1391" spans="1:5" ht="14.25" customHeight="1">
      <c r="A1391" s="140">
        <v>42591</v>
      </c>
      <c r="B1391">
        <v>28085.16</v>
      </c>
      <c r="C1391">
        <v>288.64999999999998</v>
      </c>
      <c r="D1391">
        <v>-3.46E-3</v>
      </c>
      <c r="E1391">
        <v>-1.5299999999999999E-2</v>
      </c>
    </row>
    <row r="1392" spans="1:5" ht="14.25" customHeight="1">
      <c r="A1392" s="140">
        <v>42592</v>
      </c>
      <c r="B1392">
        <v>27774.880000000001</v>
      </c>
      <c r="C1392">
        <v>286.14999999999998</v>
      </c>
      <c r="D1392">
        <v>-1.111E-2</v>
      </c>
      <c r="E1392">
        <v>-8.6999999999999994E-3</v>
      </c>
    </row>
    <row r="1393" spans="1:5" ht="14.25" customHeight="1">
      <c r="A1393" s="140">
        <v>42593</v>
      </c>
      <c r="B1393">
        <v>27859.599999999999</v>
      </c>
      <c r="C1393">
        <v>293.89999999999998</v>
      </c>
      <c r="D1393">
        <v>3.0500000000000002E-3</v>
      </c>
      <c r="E1393">
        <v>2.6720000000000001E-2</v>
      </c>
    </row>
    <row r="1394" spans="1:5" ht="14.25" customHeight="1">
      <c r="A1394" s="140">
        <v>42594</v>
      </c>
      <c r="B1394">
        <v>28152.400000000001</v>
      </c>
      <c r="C1394">
        <v>295.75</v>
      </c>
      <c r="D1394">
        <v>1.0449999999999999E-2</v>
      </c>
      <c r="E1394">
        <v>6.2700000000000004E-3</v>
      </c>
    </row>
    <row r="1395" spans="1:5" ht="14.25" customHeight="1">
      <c r="A1395" s="140">
        <v>42598</v>
      </c>
      <c r="B1395">
        <v>28064.61</v>
      </c>
      <c r="C1395">
        <v>298.3</v>
      </c>
      <c r="D1395">
        <v>-3.1199999999999999E-3</v>
      </c>
      <c r="E1395">
        <v>8.5900000000000004E-3</v>
      </c>
    </row>
    <row r="1396" spans="1:5" ht="14.25" customHeight="1">
      <c r="A1396" s="140">
        <v>42599</v>
      </c>
      <c r="B1396">
        <v>28005.37</v>
      </c>
      <c r="C1396">
        <v>303.25</v>
      </c>
      <c r="D1396">
        <v>-2.1099999999999999E-3</v>
      </c>
      <c r="E1396">
        <v>1.6459999999999999E-2</v>
      </c>
    </row>
    <row r="1397" spans="1:5" ht="14.25" customHeight="1">
      <c r="A1397" s="140">
        <v>42600</v>
      </c>
      <c r="B1397">
        <v>28123.439999999999</v>
      </c>
      <c r="C1397">
        <v>302.35000000000002</v>
      </c>
      <c r="D1397">
        <v>4.2100000000000002E-3</v>
      </c>
      <c r="E1397">
        <v>-2.97E-3</v>
      </c>
    </row>
    <row r="1398" spans="1:5" ht="14.25" customHeight="1">
      <c r="A1398" s="140">
        <v>42601</v>
      </c>
      <c r="B1398">
        <v>28077</v>
      </c>
      <c r="C1398">
        <v>299.5</v>
      </c>
      <c r="D1398">
        <v>-1.65E-3</v>
      </c>
      <c r="E1398">
        <v>-9.4699999999999993E-3</v>
      </c>
    </row>
    <row r="1399" spans="1:5" ht="14.25" customHeight="1">
      <c r="A1399" s="140">
        <v>42604</v>
      </c>
      <c r="B1399">
        <v>27985.54</v>
      </c>
      <c r="C1399">
        <v>295.7</v>
      </c>
      <c r="D1399">
        <v>-3.2599999999999999E-3</v>
      </c>
      <c r="E1399">
        <v>-1.277E-2</v>
      </c>
    </row>
    <row r="1400" spans="1:5" ht="14.25" customHeight="1">
      <c r="A1400" s="140">
        <v>42605</v>
      </c>
      <c r="B1400">
        <v>27990.21</v>
      </c>
      <c r="C1400">
        <v>291.2</v>
      </c>
      <c r="D1400">
        <v>1.7000000000000001E-4</v>
      </c>
      <c r="E1400">
        <v>-1.5339999999999999E-2</v>
      </c>
    </row>
    <row r="1401" spans="1:5" ht="14.25" customHeight="1">
      <c r="A1401" s="140">
        <v>42606</v>
      </c>
      <c r="B1401">
        <v>28059.94</v>
      </c>
      <c r="C1401">
        <v>293.89999999999998</v>
      </c>
      <c r="D1401">
        <v>2.49E-3</v>
      </c>
      <c r="E1401">
        <v>9.2300000000000004E-3</v>
      </c>
    </row>
    <row r="1402" spans="1:5" ht="14.25" customHeight="1">
      <c r="A1402" s="140">
        <v>42607</v>
      </c>
      <c r="B1402">
        <v>27835.91</v>
      </c>
      <c r="C1402">
        <v>292.35000000000002</v>
      </c>
      <c r="D1402">
        <v>-8.0199999999999994E-3</v>
      </c>
      <c r="E1402">
        <v>-5.2900000000000004E-3</v>
      </c>
    </row>
    <row r="1403" spans="1:5" ht="14.25" customHeight="1">
      <c r="A1403" s="140">
        <v>42608</v>
      </c>
      <c r="B1403">
        <v>27782.25</v>
      </c>
      <c r="C1403">
        <v>288.8</v>
      </c>
      <c r="D1403">
        <v>-1.9300000000000001E-3</v>
      </c>
      <c r="E1403">
        <v>-1.222E-2</v>
      </c>
    </row>
    <row r="1404" spans="1:5" ht="14.25" customHeight="1">
      <c r="A1404" s="140">
        <v>42611</v>
      </c>
      <c r="B1404">
        <v>27902.66</v>
      </c>
      <c r="C1404">
        <v>288.25</v>
      </c>
      <c r="D1404">
        <v>4.3200000000000001E-3</v>
      </c>
      <c r="E1404">
        <v>-1.91E-3</v>
      </c>
    </row>
    <row r="1405" spans="1:5" ht="14.25" customHeight="1">
      <c r="A1405" s="140">
        <v>42612</v>
      </c>
      <c r="B1405">
        <v>28343.01</v>
      </c>
      <c r="C1405">
        <v>293.75</v>
      </c>
      <c r="D1405">
        <v>1.566E-2</v>
      </c>
      <c r="E1405">
        <v>1.89E-2</v>
      </c>
    </row>
    <row r="1406" spans="1:5" ht="14.25" customHeight="1">
      <c r="A1406" s="140">
        <v>42613</v>
      </c>
      <c r="B1406">
        <v>28452.17</v>
      </c>
      <c r="C1406">
        <v>290.7</v>
      </c>
      <c r="D1406">
        <v>3.8400000000000001E-3</v>
      </c>
      <c r="E1406">
        <v>-1.044E-2</v>
      </c>
    </row>
    <row r="1407" spans="1:5" ht="14.25" customHeight="1">
      <c r="A1407" s="140">
        <v>42614</v>
      </c>
      <c r="B1407">
        <v>28423.48</v>
      </c>
      <c r="C1407">
        <v>293.89999999999998</v>
      </c>
      <c r="D1407">
        <v>-1.01E-3</v>
      </c>
      <c r="E1407">
        <v>1.095E-2</v>
      </c>
    </row>
    <row r="1408" spans="1:5" ht="14.25" customHeight="1">
      <c r="A1408" s="140">
        <v>42615</v>
      </c>
      <c r="B1408">
        <v>28532.11</v>
      </c>
      <c r="C1408">
        <v>296.7</v>
      </c>
      <c r="D1408">
        <v>3.81E-3</v>
      </c>
      <c r="E1408">
        <v>9.4800000000000006E-3</v>
      </c>
    </row>
    <row r="1409" spans="1:5" ht="14.25" customHeight="1">
      <c r="A1409" s="140">
        <v>42619</v>
      </c>
      <c r="B1409">
        <v>28978.02</v>
      </c>
      <c r="C1409">
        <v>299.7</v>
      </c>
      <c r="D1409">
        <v>1.5509999999999999E-2</v>
      </c>
      <c r="E1409">
        <v>1.0059999999999999E-2</v>
      </c>
    </row>
    <row r="1410" spans="1:5" ht="14.25" customHeight="1">
      <c r="A1410" s="140">
        <v>42620</v>
      </c>
      <c r="B1410">
        <v>28926.36</v>
      </c>
      <c r="C1410">
        <v>297.05</v>
      </c>
      <c r="D1410">
        <v>-1.7799999999999999E-3</v>
      </c>
      <c r="E1410">
        <v>-8.8800000000000007E-3</v>
      </c>
    </row>
    <row r="1411" spans="1:5" ht="14.25" customHeight="1">
      <c r="A1411" s="140">
        <v>42621</v>
      </c>
      <c r="B1411">
        <v>29045.279999999999</v>
      </c>
      <c r="C1411">
        <v>298.60000000000002</v>
      </c>
      <c r="D1411">
        <v>4.1000000000000003E-3</v>
      </c>
      <c r="E1411">
        <v>5.1999999999999998E-3</v>
      </c>
    </row>
    <row r="1412" spans="1:5" ht="14.25" customHeight="1">
      <c r="A1412" s="140">
        <v>42622</v>
      </c>
      <c r="B1412">
        <v>28797.25</v>
      </c>
      <c r="C1412">
        <v>293.7</v>
      </c>
      <c r="D1412">
        <v>-8.5800000000000008E-3</v>
      </c>
      <c r="E1412">
        <v>-1.6549999999999999E-2</v>
      </c>
    </row>
    <row r="1413" spans="1:5" ht="14.25" customHeight="1">
      <c r="A1413" s="140">
        <v>42625</v>
      </c>
      <c r="B1413">
        <v>28353.54</v>
      </c>
      <c r="C1413">
        <v>290.2</v>
      </c>
      <c r="D1413">
        <v>-1.553E-2</v>
      </c>
      <c r="E1413">
        <v>-1.1990000000000001E-2</v>
      </c>
    </row>
    <row r="1414" spans="1:5" ht="14.25" customHeight="1">
      <c r="A1414" s="140">
        <v>42627</v>
      </c>
      <c r="B1414">
        <v>28372.23</v>
      </c>
      <c r="C1414">
        <v>292.64999999999998</v>
      </c>
      <c r="D1414">
        <v>6.6E-4</v>
      </c>
      <c r="E1414">
        <v>8.4100000000000008E-3</v>
      </c>
    </row>
    <row r="1415" spans="1:5" ht="14.25" customHeight="1">
      <c r="A1415" s="140">
        <v>42628</v>
      </c>
      <c r="B1415">
        <v>28412.89</v>
      </c>
      <c r="C1415">
        <v>292.85000000000002</v>
      </c>
      <c r="D1415">
        <v>1.4300000000000001E-3</v>
      </c>
      <c r="E1415">
        <v>6.8000000000000005E-4</v>
      </c>
    </row>
    <row r="1416" spans="1:5" ht="14.25" customHeight="1">
      <c r="A1416" s="140">
        <v>42629</v>
      </c>
      <c r="B1416">
        <v>28599.03</v>
      </c>
      <c r="C1416">
        <v>292.8</v>
      </c>
      <c r="D1416">
        <v>6.5300000000000002E-3</v>
      </c>
      <c r="E1416">
        <v>-1.7000000000000001E-4</v>
      </c>
    </row>
    <row r="1417" spans="1:5" ht="14.25" customHeight="1">
      <c r="A1417" s="140">
        <v>42632</v>
      </c>
      <c r="B1417">
        <v>28634.5</v>
      </c>
      <c r="C1417">
        <v>293.89999999999998</v>
      </c>
      <c r="D1417">
        <v>1.24E-3</v>
      </c>
      <c r="E1417">
        <v>3.7499999999999999E-3</v>
      </c>
    </row>
    <row r="1418" spans="1:5" ht="14.25" customHeight="1">
      <c r="A1418" s="140">
        <v>42633</v>
      </c>
      <c r="B1418">
        <v>28523.200000000001</v>
      </c>
      <c r="C1418">
        <v>291.14999999999998</v>
      </c>
      <c r="D1418">
        <v>-3.8899999999999998E-3</v>
      </c>
      <c r="E1418">
        <v>-9.4000000000000004E-3</v>
      </c>
    </row>
    <row r="1419" spans="1:5" ht="14.25" customHeight="1">
      <c r="A1419" s="140">
        <v>42634</v>
      </c>
      <c r="B1419">
        <v>28507.42</v>
      </c>
      <c r="C1419">
        <v>289.14999999999998</v>
      </c>
      <c r="D1419">
        <v>-5.5000000000000003E-4</v>
      </c>
      <c r="E1419">
        <v>-6.8900000000000003E-3</v>
      </c>
    </row>
    <row r="1420" spans="1:5" ht="14.25" customHeight="1">
      <c r="A1420" s="140">
        <v>42635</v>
      </c>
      <c r="B1420">
        <v>28773.13</v>
      </c>
      <c r="C1420">
        <v>286.05</v>
      </c>
      <c r="D1420">
        <v>9.2800000000000001E-3</v>
      </c>
      <c r="E1420">
        <v>-1.078E-2</v>
      </c>
    </row>
    <row r="1421" spans="1:5" ht="14.25" customHeight="1">
      <c r="A1421" s="140">
        <v>42636</v>
      </c>
      <c r="B1421">
        <v>28668.22</v>
      </c>
      <c r="C1421">
        <v>282.7</v>
      </c>
      <c r="D1421">
        <v>-3.65E-3</v>
      </c>
      <c r="E1421">
        <v>-1.1780000000000001E-2</v>
      </c>
    </row>
    <row r="1422" spans="1:5" ht="14.25" customHeight="1">
      <c r="A1422" s="140">
        <v>42639</v>
      </c>
      <c r="B1422">
        <v>28294.28</v>
      </c>
      <c r="C1422">
        <v>281.3</v>
      </c>
      <c r="D1422">
        <v>-1.3129999999999999E-2</v>
      </c>
      <c r="E1422">
        <v>-4.96E-3</v>
      </c>
    </row>
    <row r="1423" spans="1:5" ht="14.25" customHeight="1">
      <c r="A1423" s="140">
        <v>42640</v>
      </c>
      <c r="B1423">
        <v>28223.7</v>
      </c>
      <c r="C1423">
        <v>282</v>
      </c>
      <c r="D1423">
        <v>-2.5000000000000001E-3</v>
      </c>
      <c r="E1423">
        <v>2.49E-3</v>
      </c>
    </row>
    <row r="1424" spans="1:5" ht="14.25" customHeight="1">
      <c r="A1424" s="140">
        <v>42641</v>
      </c>
      <c r="B1424">
        <v>28292.81</v>
      </c>
      <c r="C1424">
        <v>277.39999999999998</v>
      </c>
      <c r="D1424">
        <v>2.4499999999999999E-3</v>
      </c>
      <c r="E1424">
        <v>-1.6449999999999999E-2</v>
      </c>
    </row>
    <row r="1425" spans="1:5" ht="14.25" customHeight="1">
      <c r="A1425" s="140">
        <v>42642</v>
      </c>
      <c r="B1425">
        <v>27827.53</v>
      </c>
      <c r="C1425">
        <v>270.05</v>
      </c>
      <c r="D1425">
        <v>-1.6580000000000001E-2</v>
      </c>
      <c r="E1425">
        <v>-2.6849999999999999E-2</v>
      </c>
    </row>
    <row r="1426" spans="1:5" ht="14.25" customHeight="1">
      <c r="A1426" s="140">
        <v>42643</v>
      </c>
      <c r="B1426">
        <v>27865.96</v>
      </c>
      <c r="C1426">
        <v>271.3</v>
      </c>
      <c r="D1426">
        <v>1.3799999999999999E-3</v>
      </c>
      <c r="E1426">
        <v>4.62E-3</v>
      </c>
    </row>
    <row r="1427" spans="1:5" ht="14.25" customHeight="1">
      <c r="A1427" s="140">
        <v>42646</v>
      </c>
      <c r="B1427">
        <v>28243.29</v>
      </c>
      <c r="C1427">
        <v>276.2</v>
      </c>
      <c r="D1427">
        <v>1.345E-2</v>
      </c>
      <c r="E1427">
        <v>1.7899999999999999E-2</v>
      </c>
    </row>
    <row r="1428" spans="1:5" ht="14.25" customHeight="1">
      <c r="A1428" s="140">
        <v>42647</v>
      </c>
      <c r="B1428">
        <v>28334.55</v>
      </c>
      <c r="C1428">
        <v>280.05</v>
      </c>
      <c r="D1428">
        <v>3.2299999999999998E-3</v>
      </c>
      <c r="E1428">
        <v>1.384E-2</v>
      </c>
    </row>
    <row r="1429" spans="1:5" ht="14.25" customHeight="1">
      <c r="A1429" s="140">
        <v>42648</v>
      </c>
      <c r="B1429">
        <v>28220.98</v>
      </c>
      <c r="C1429">
        <v>282.89999999999998</v>
      </c>
      <c r="D1429">
        <v>-4.0200000000000001E-3</v>
      </c>
      <c r="E1429">
        <v>1.013E-2</v>
      </c>
    </row>
    <row r="1430" spans="1:5" ht="14.25" customHeight="1">
      <c r="A1430" s="140">
        <v>42649</v>
      </c>
      <c r="B1430">
        <v>28106.21</v>
      </c>
      <c r="C1430">
        <v>285.89999999999998</v>
      </c>
      <c r="D1430">
        <v>-4.0800000000000003E-3</v>
      </c>
      <c r="E1430">
        <v>1.055E-2</v>
      </c>
    </row>
    <row r="1431" spans="1:5" ht="14.25" customHeight="1">
      <c r="A1431" s="140">
        <v>42650</v>
      </c>
      <c r="B1431">
        <v>28061.14</v>
      </c>
      <c r="C1431">
        <v>284</v>
      </c>
      <c r="D1431">
        <v>-1.6000000000000001E-3</v>
      </c>
      <c r="E1431">
        <v>-6.6699999999999997E-3</v>
      </c>
    </row>
    <row r="1432" spans="1:5" ht="14.25" customHeight="1">
      <c r="A1432" s="140">
        <v>42653</v>
      </c>
      <c r="B1432">
        <v>28082.34</v>
      </c>
      <c r="C1432">
        <v>285.55</v>
      </c>
      <c r="D1432">
        <v>7.6000000000000004E-4</v>
      </c>
      <c r="E1432">
        <v>5.4400000000000004E-3</v>
      </c>
    </row>
    <row r="1433" spans="1:5" ht="14.25" customHeight="1">
      <c r="A1433" s="140">
        <v>42656</v>
      </c>
      <c r="B1433">
        <v>27643.11</v>
      </c>
      <c r="C1433">
        <v>282.89999999999998</v>
      </c>
      <c r="D1433">
        <v>-1.576E-2</v>
      </c>
      <c r="E1433">
        <v>-9.3200000000000002E-3</v>
      </c>
    </row>
    <row r="1434" spans="1:5" ht="14.25" customHeight="1">
      <c r="A1434" s="140">
        <v>42657</v>
      </c>
      <c r="B1434">
        <v>27673.599999999999</v>
      </c>
      <c r="C1434">
        <v>279.7</v>
      </c>
      <c r="D1434">
        <v>1.1000000000000001E-3</v>
      </c>
      <c r="E1434">
        <v>-1.1379999999999999E-2</v>
      </c>
    </row>
    <row r="1435" spans="1:5" ht="14.25" customHeight="1">
      <c r="A1435" s="140">
        <v>42660</v>
      </c>
      <c r="B1435">
        <v>27529.97</v>
      </c>
      <c r="C1435">
        <v>271.75</v>
      </c>
      <c r="D1435">
        <v>-5.1999999999999998E-3</v>
      </c>
      <c r="E1435">
        <v>-2.8840000000000001E-2</v>
      </c>
    </row>
    <row r="1436" spans="1:5" ht="14.25" customHeight="1">
      <c r="A1436" s="140">
        <v>42661</v>
      </c>
      <c r="B1436">
        <v>28050.880000000001</v>
      </c>
      <c r="C1436">
        <v>275.14999999999998</v>
      </c>
      <c r="D1436">
        <v>1.874E-2</v>
      </c>
      <c r="E1436">
        <v>1.243E-2</v>
      </c>
    </row>
    <row r="1437" spans="1:5" ht="14.25" customHeight="1">
      <c r="A1437" s="140">
        <v>42662</v>
      </c>
      <c r="B1437">
        <v>27984.37</v>
      </c>
      <c r="C1437">
        <v>277.2</v>
      </c>
      <c r="D1437">
        <v>-2.3700000000000001E-3</v>
      </c>
      <c r="E1437">
        <v>7.4200000000000004E-3</v>
      </c>
    </row>
    <row r="1438" spans="1:5" ht="14.25" customHeight="1">
      <c r="A1438" s="140">
        <v>42663</v>
      </c>
      <c r="B1438">
        <v>28129.84</v>
      </c>
      <c r="C1438">
        <v>280</v>
      </c>
      <c r="D1438">
        <v>5.1799999999999997E-3</v>
      </c>
      <c r="E1438">
        <v>1.005E-2</v>
      </c>
    </row>
    <row r="1439" spans="1:5" ht="14.25" customHeight="1">
      <c r="A1439" s="140">
        <v>42664</v>
      </c>
      <c r="B1439">
        <v>28077.18</v>
      </c>
      <c r="C1439">
        <v>284.10000000000002</v>
      </c>
      <c r="D1439">
        <v>-1.8699999999999999E-3</v>
      </c>
      <c r="E1439">
        <v>1.4540000000000001E-2</v>
      </c>
    </row>
    <row r="1440" spans="1:5" ht="14.25" customHeight="1">
      <c r="A1440" s="140">
        <v>42667</v>
      </c>
      <c r="B1440">
        <v>28179.08</v>
      </c>
      <c r="C1440">
        <v>283.35000000000002</v>
      </c>
      <c r="D1440">
        <v>3.62E-3</v>
      </c>
      <c r="E1440">
        <v>-2.64E-3</v>
      </c>
    </row>
    <row r="1441" spans="1:5" ht="14.25" customHeight="1">
      <c r="A1441" s="140">
        <v>42668</v>
      </c>
      <c r="B1441">
        <v>28091.42</v>
      </c>
      <c r="C1441">
        <v>284.45</v>
      </c>
      <c r="D1441">
        <v>-3.1199999999999999E-3</v>
      </c>
      <c r="E1441">
        <v>3.8700000000000002E-3</v>
      </c>
    </row>
    <row r="1442" spans="1:5" ht="14.25" customHeight="1">
      <c r="A1442" s="140">
        <v>42669</v>
      </c>
      <c r="B1442">
        <v>27836.51</v>
      </c>
      <c r="C1442">
        <v>296.39999999999998</v>
      </c>
      <c r="D1442">
        <v>-9.1199999999999996E-3</v>
      </c>
      <c r="E1442">
        <v>4.1149999999999999E-2</v>
      </c>
    </row>
    <row r="1443" spans="1:5" ht="14.25" customHeight="1">
      <c r="A1443" s="140">
        <v>42670</v>
      </c>
      <c r="B1443">
        <v>27915.9</v>
      </c>
      <c r="C1443">
        <v>289.25</v>
      </c>
      <c r="D1443">
        <v>2.8500000000000001E-3</v>
      </c>
      <c r="E1443">
        <v>-2.4420000000000001E-2</v>
      </c>
    </row>
    <row r="1444" spans="1:5" ht="14.25" customHeight="1">
      <c r="A1444" s="140">
        <v>42671</v>
      </c>
      <c r="B1444">
        <v>27941.51</v>
      </c>
      <c r="C1444">
        <v>290.89999999999998</v>
      </c>
      <c r="D1444">
        <v>9.2000000000000003E-4</v>
      </c>
      <c r="E1444">
        <v>5.6899999999999997E-3</v>
      </c>
    </row>
    <row r="1445" spans="1:5" ht="14.25" customHeight="1">
      <c r="A1445" s="140">
        <v>42673</v>
      </c>
      <c r="B1445">
        <v>27930.21</v>
      </c>
      <c r="C1445">
        <v>292.2</v>
      </c>
      <c r="D1445">
        <v>-4.0000000000000002E-4</v>
      </c>
      <c r="E1445">
        <v>4.4600000000000004E-3</v>
      </c>
    </row>
    <row r="1446" spans="1:5" ht="14.25" customHeight="1">
      <c r="A1446" s="140">
        <v>42675</v>
      </c>
      <c r="B1446">
        <v>27876.61</v>
      </c>
      <c r="C1446">
        <v>290.05</v>
      </c>
      <c r="D1446">
        <v>-1.92E-3</v>
      </c>
      <c r="E1446">
        <v>-7.3899999999999999E-3</v>
      </c>
    </row>
    <row r="1447" spans="1:5" ht="14.25" customHeight="1">
      <c r="A1447" s="140">
        <v>42676</v>
      </c>
      <c r="B1447">
        <v>27527.22</v>
      </c>
      <c r="C1447">
        <v>294.3</v>
      </c>
      <c r="D1447">
        <v>-1.261E-2</v>
      </c>
      <c r="E1447">
        <v>1.455E-2</v>
      </c>
    </row>
    <row r="1448" spans="1:5" ht="14.25" customHeight="1">
      <c r="A1448" s="140">
        <v>42677</v>
      </c>
      <c r="B1448">
        <v>27430.28</v>
      </c>
      <c r="C1448">
        <v>291.89999999999998</v>
      </c>
      <c r="D1448">
        <v>-3.5300000000000002E-3</v>
      </c>
      <c r="E1448">
        <v>-8.1899999999999994E-3</v>
      </c>
    </row>
    <row r="1449" spans="1:5" ht="14.25" customHeight="1">
      <c r="A1449" s="140">
        <v>42678</v>
      </c>
      <c r="B1449">
        <v>27274.15</v>
      </c>
      <c r="C1449">
        <v>297.14999999999998</v>
      </c>
      <c r="D1449">
        <v>-5.7099999999999998E-3</v>
      </c>
      <c r="E1449">
        <v>1.7829999999999999E-2</v>
      </c>
    </row>
    <row r="1450" spans="1:5" ht="14.25" customHeight="1">
      <c r="A1450" s="140">
        <v>42681</v>
      </c>
      <c r="B1450">
        <v>27458.99</v>
      </c>
      <c r="C1450">
        <v>296.8</v>
      </c>
      <c r="D1450">
        <v>6.7499999999999999E-3</v>
      </c>
      <c r="E1450">
        <v>-1.1800000000000001E-3</v>
      </c>
    </row>
    <row r="1451" spans="1:5" ht="14.25" customHeight="1">
      <c r="A1451" s="140">
        <v>42682</v>
      </c>
      <c r="B1451">
        <v>27591.14</v>
      </c>
      <c r="C1451">
        <v>297.5</v>
      </c>
      <c r="D1451">
        <v>4.7999999999999996E-3</v>
      </c>
      <c r="E1451">
        <v>2.3600000000000001E-3</v>
      </c>
    </row>
    <row r="1452" spans="1:5" ht="14.25" customHeight="1">
      <c r="A1452" s="140">
        <v>42683</v>
      </c>
      <c r="B1452">
        <v>27252.53</v>
      </c>
      <c r="C1452">
        <v>297.64999999999998</v>
      </c>
      <c r="D1452">
        <v>-1.235E-2</v>
      </c>
      <c r="E1452">
        <v>5.0000000000000001E-4</v>
      </c>
    </row>
    <row r="1453" spans="1:5" ht="14.25" customHeight="1">
      <c r="A1453" s="140">
        <v>42684</v>
      </c>
      <c r="B1453">
        <v>27517.68</v>
      </c>
      <c r="C1453">
        <v>296.60000000000002</v>
      </c>
      <c r="D1453">
        <v>9.6799999999999994E-3</v>
      </c>
      <c r="E1453">
        <v>-3.5300000000000002E-3</v>
      </c>
    </row>
    <row r="1454" spans="1:5" ht="14.25" customHeight="1">
      <c r="A1454" s="140">
        <v>42685</v>
      </c>
      <c r="B1454">
        <v>26818.82</v>
      </c>
      <c r="C1454">
        <v>281.14999999999998</v>
      </c>
      <c r="D1454">
        <v>-2.572E-2</v>
      </c>
      <c r="E1454">
        <v>-5.3499999999999999E-2</v>
      </c>
    </row>
    <row r="1455" spans="1:5" ht="14.25" customHeight="1">
      <c r="A1455" s="140">
        <v>42689</v>
      </c>
      <c r="B1455">
        <v>26304.63</v>
      </c>
      <c r="C1455">
        <v>270.35000000000002</v>
      </c>
      <c r="D1455">
        <v>-1.9359999999999999E-2</v>
      </c>
      <c r="E1455">
        <v>-3.9170000000000003E-2</v>
      </c>
    </row>
    <row r="1456" spans="1:5" ht="14.25" customHeight="1">
      <c r="A1456" s="140">
        <v>42690</v>
      </c>
      <c r="B1456">
        <v>26298.69</v>
      </c>
      <c r="C1456">
        <v>275.25</v>
      </c>
      <c r="D1456">
        <v>-2.3000000000000001E-4</v>
      </c>
      <c r="E1456">
        <v>1.796E-2</v>
      </c>
    </row>
    <row r="1457" spans="1:5" ht="14.25" customHeight="1">
      <c r="A1457" s="140">
        <v>42691</v>
      </c>
      <c r="B1457">
        <v>26227.62</v>
      </c>
      <c r="C1457">
        <v>276.60000000000002</v>
      </c>
      <c r="D1457">
        <v>-2.7100000000000002E-3</v>
      </c>
      <c r="E1457">
        <v>4.8900000000000002E-3</v>
      </c>
    </row>
    <row r="1458" spans="1:5" ht="14.25" customHeight="1">
      <c r="A1458" s="140">
        <v>42692</v>
      </c>
      <c r="B1458">
        <v>26150.240000000002</v>
      </c>
      <c r="C1458">
        <v>277.64999999999998</v>
      </c>
      <c r="D1458">
        <v>-2.9499999999999999E-3</v>
      </c>
      <c r="E1458">
        <v>3.79E-3</v>
      </c>
    </row>
    <row r="1459" spans="1:5" ht="14.25" customHeight="1">
      <c r="A1459" s="140">
        <v>42695</v>
      </c>
      <c r="B1459">
        <v>25765.14</v>
      </c>
      <c r="C1459">
        <v>275.75</v>
      </c>
      <c r="D1459">
        <v>-1.4840000000000001E-2</v>
      </c>
      <c r="E1459">
        <v>-6.8700000000000002E-3</v>
      </c>
    </row>
    <row r="1460" spans="1:5" ht="14.25" customHeight="1">
      <c r="A1460" s="140">
        <v>42696</v>
      </c>
      <c r="B1460">
        <v>25960.78</v>
      </c>
      <c r="C1460">
        <v>275.7</v>
      </c>
      <c r="D1460">
        <v>7.5599999999999999E-3</v>
      </c>
      <c r="E1460">
        <v>-1.8000000000000001E-4</v>
      </c>
    </row>
    <row r="1461" spans="1:5" ht="14.25" customHeight="1">
      <c r="A1461" s="140">
        <v>42697</v>
      </c>
      <c r="B1461">
        <v>26051.81</v>
      </c>
      <c r="C1461">
        <v>280.60000000000002</v>
      </c>
      <c r="D1461">
        <v>3.5000000000000001E-3</v>
      </c>
      <c r="E1461">
        <v>1.762E-2</v>
      </c>
    </row>
    <row r="1462" spans="1:5" ht="14.25" customHeight="1">
      <c r="A1462" s="140">
        <v>42698</v>
      </c>
      <c r="B1462">
        <v>25860.17</v>
      </c>
      <c r="C1462">
        <v>277.10000000000002</v>
      </c>
      <c r="D1462">
        <v>-7.3800000000000003E-3</v>
      </c>
      <c r="E1462">
        <v>-1.255E-2</v>
      </c>
    </row>
    <row r="1463" spans="1:5" ht="14.25" customHeight="1">
      <c r="A1463" s="140">
        <v>42699</v>
      </c>
      <c r="B1463">
        <v>26316.34</v>
      </c>
      <c r="C1463">
        <v>276.05</v>
      </c>
      <c r="D1463">
        <v>1.7489999999999999E-2</v>
      </c>
      <c r="E1463">
        <v>-3.8E-3</v>
      </c>
    </row>
    <row r="1464" spans="1:5" ht="14.25" customHeight="1">
      <c r="A1464" s="140">
        <v>42702</v>
      </c>
      <c r="B1464">
        <v>26350.17</v>
      </c>
      <c r="C1464">
        <v>276.95</v>
      </c>
      <c r="D1464">
        <v>1.2800000000000001E-3</v>
      </c>
      <c r="E1464">
        <v>3.2499999999999999E-3</v>
      </c>
    </row>
    <row r="1465" spans="1:5" ht="14.25" customHeight="1">
      <c r="A1465" s="140">
        <v>42703</v>
      </c>
      <c r="B1465">
        <v>26394.01</v>
      </c>
      <c r="C1465">
        <v>277.2</v>
      </c>
      <c r="D1465">
        <v>1.66E-3</v>
      </c>
      <c r="E1465">
        <v>8.9999999999999998E-4</v>
      </c>
    </row>
    <row r="1466" spans="1:5" ht="14.25" customHeight="1">
      <c r="A1466" s="140">
        <v>42704</v>
      </c>
      <c r="B1466">
        <v>26652.81</v>
      </c>
      <c r="C1466">
        <v>283.35000000000002</v>
      </c>
      <c r="D1466">
        <v>9.7599999999999996E-3</v>
      </c>
      <c r="E1466">
        <v>2.1940000000000001E-2</v>
      </c>
    </row>
    <row r="1467" spans="1:5" ht="14.25" customHeight="1">
      <c r="A1467" s="140">
        <v>42705</v>
      </c>
      <c r="B1467">
        <v>26559.919999999998</v>
      </c>
      <c r="C1467">
        <v>285.7</v>
      </c>
      <c r="D1467">
        <v>-3.49E-3</v>
      </c>
      <c r="E1467">
        <v>8.26E-3</v>
      </c>
    </row>
    <row r="1468" spans="1:5" ht="14.25" customHeight="1">
      <c r="A1468" s="140">
        <v>42706</v>
      </c>
      <c r="B1468">
        <v>26230.66</v>
      </c>
      <c r="C1468">
        <v>282.60000000000002</v>
      </c>
      <c r="D1468">
        <v>-1.247E-2</v>
      </c>
      <c r="E1468">
        <v>-1.091E-2</v>
      </c>
    </row>
    <row r="1469" spans="1:5" ht="14.25" customHeight="1">
      <c r="A1469" s="140">
        <v>42709</v>
      </c>
      <c r="B1469">
        <v>26349.1</v>
      </c>
      <c r="C1469">
        <v>285.2</v>
      </c>
      <c r="D1469">
        <v>4.5100000000000001E-3</v>
      </c>
      <c r="E1469">
        <v>9.1599999999999997E-3</v>
      </c>
    </row>
    <row r="1470" spans="1:5" ht="14.25" customHeight="1">
      <c r="A1470" s="140">
        <v>42710</v>
      </c>
      <c r="B1470">
        <v>26392.76</v>
      </c>
      <c r="C1470">
        <v>280.7</v>
      </c>
      <c r="D1470">
        <v>1.66E-3</v>
      </c>
      <c r="E1470">
        <v>-1.5900000000000001E-2</v>
      </c>
    </row>
    <row r="1471" spans="1:5" ht="14.25" customHeight="1">
      <c r="A1471" s="140">
        <v>42711</v>
      </c>
      <c r="B1471">
        <v>26236.87</v>
      </c>
      <c r="C1471">
        <v>279.8</v>
      </c>
      <c r="D1471">
        <v>-5.9199999999999999E-3</v>
      </c>
      <c r="E1471">
        <v>-3.2100000000000002E-3</v>
      </c>
    </row>
    <row r="1472" spans="1:5" ht="14.25" customHeight="1">
      <c r="A1472" s="140">
        <v>42712</v>
      </c>
      <c r="B1472">
        <v>26694.28</v>
      </c>
      <c r="C1472">
        <v>279.75</v>
      </c>
      <c r="D1472">
        <v>1.728E-2</v>
      </c>
      <c r="E1472">
        <v>-1.8000000000000001E-4</v>
      </c>
    </row>
    <row r="1473" spans="1:5" ht="14.25" customHeight="1">
      <c r="A1473" s="140">
        <v>42713</v>
      </c>
      <c r="B1473">
        <v>26747.18</v>
      </c>
      <c r="C1473">
        <v>280.10000000000002</v>
      </c>
      <c r="D1473">
        <v>1.98E-3</v>
      </c>
      <c r="E1473">
        <v>1.25E-3</v>
      </c>
    </row>
    <row r="1474" spans="1:5" ht="14.25" customHeight="1">
      <c r="A1474" s="140">
        <v>42716</v>
      </c>
      <c r="B1474">
        <v>26515.24</v>
      </c>
      <c r="C1474">
        <v>276.25</v>
      </c>
      <c r="D1474">
        <v>-8.7100000000000007E-3</v>
      </c>
      <c r="E1474">
        <v>-1.384E-2</v>
      </c>
    </row>
    <row r="1475" spans="1:5" ht="14.25" customHeight="1">
      <c r="A1475" s="140">
        <v>42717</v>
      </c>
      <c r="B1475">
        <v>26697.82</v>
      </c>
      <c r="C1475">
        <v>281.05</v>
      </c>
      <c r="D1475">
        <v>6.8599999999999998E-3</v>
      </c>
      <c r="E1475">
        <v>1.7229999999999999E-2</v>
      </c>
    </row>
    <row r="1476" spans="1:5" ht="14.25" customHeight="1">
      <c r="A1476" s="140">
        <v>42718</v>
      </c>
      <c r="B1476">
        <v>26602.84</v>
      </c>
      <c r="C1476">
        <v>275.85000000000002</v>
      </c>
      <c r="D1476">
        <v>-3.5599999999999998E-3</v>
      </c>
      <c r="E1476">
        <v>-1.8679999999999999E-2</v>
      </c>
    </row>
    <row r="1477" spans="1:5" ht="14.25" customHeight="1">
      <c r="A1477" s="140">
        <v>42719</v>
      </c>
      <c r="B1477">
        <v>26519.07</v>
      </c>
      <c r="C1477">
        <v>271.85000000000002</v>
      </c>
      <c r="D1477">
        <v>-3.15E-3</v>
      </c>
      <c r="E1477">
        <v>-1.461E-2</v>
      </c>
    </row>
    <row r="1478" spans="1:5" ht="14.25" customHeight="1">
      <c r="A1478" s="140">
        <v>42720</v>
      </c>
      <c r="B1478">
        <v>26489.56</v>
      </c>
      <c r="C1478">
        <v>271.2</v>
      </c>
      <c r="D1478">
        <v>-1.1100000000000001E-3</v>
      </c>
      <c r="E1478">
        <v>-2.3900000000000002E-3</v>
      </c>
    </row>
    <row r="1479" spans="1:5" ht="14.25" customHeight="1">
      <c r="A1479" s="140">
        <v>42723</v>
      </c>
      <c r="B1479">
        <v>26374.7</v>
      </c>
      <c r="C1479">
        <v>268.89999999999998</v>
      </c>
      <c r="D1479">
        <v>-4.3499999999999997E-3</v>
      </c>
      <c r="E1479">
        <v>-8.5199999999999998E-3</v>
      </c>
    </row>
    <row r="1480" spans="1:5" ht="14.25" customHeight="1">
      <c r="A1480" s="140">
        <v>42724</v>
      </c>
      <c r="B1480">
        <v>26307.98</v>
      </c>
      <c r="C1480">
        <v>273.85000000000002</v>
      </c>
      <c r="D1480">
        <v>-2.5300000000000001E-3</v>
      </c>
      <c r="E1480">
        <v>1.8239999999999999E-2</v>
      </c>
    </row>
    <row r="1481" spans="1:5" ht="14.25" customHeight="1">
      <c r="A1481" s="140">
        <v>42725</v>
      </c>
      <c r="B1481">
        <v>26242.38</v>
      </c>
      <c r="C1481">
        <v>271.64999999999998</v>
      </c>
      <c r="D1481">
        <v>-2.5000000000000001E-3</v>
      </c>
      <c r="E1481">
        <v>-8.0700000000000008E-3</v>
      </c>
    </row>
    <row r="1482" spans="1:5" ht="14.25" customHeight="1">
      <c r="A1482" s="140">
        <v>42726</v>
      </c>
      <c r="B1482">
        <v>25979.599999999999</v>
      </c>
      <c r="C1482">
        <v>265.7</v>
      </c>
      <c r="D1482">
        <v>-1.0059999999999999E-2</v>
      </c>
      <c r="E1482">
        <v>-2.215E-2</v>
      </c>
    </row>
    <row r="1483" spans="1:5" ht="14.25" customHeight="1">
      <c r="A1483" s="140">
        <v>42727</v>
      </c>
      <c r="B1483">
        <v>26040.7</v>
      </c>
      <c r="C1483">
        <v>262.5</v>
      </c>
      <c r="D1483">
        <v>2.3500000000000001E-3</v>
      </c>
      <c r="E1483">
        <v>-1.2120000000000001E-2</v>
      </c>
    </row>
    <row r="1484" spans="1:5" ht="14.25" customHeight="1">
      <c r="A1484" s="140">
        <v>42730</v>
      </c>
      <c r="B1484">
        <v>25807.1</v>
      </c>
      <c r="C1484">
        <v>260.05</v>
      </c>
      <c r="D1484">
        <v>-9.0100000000000006E-3</v>
      </c>
      <c r="E1484">
        <v>-9.3799999999999994E-3</v>
      </c>
    </row>
    <row r="1485" spans="1:5" ht="14.25" customHeight="1">
      <c r="A1485" s="140">
        <v>42731</v>
      </c>
      <c r="B1485">
        <v>26213.439999999999</v>
      </c>
      <c r="C1485">
        <v>270.14999999999998</v>
      </c>
      <c r="D1485">
        <v>1.562E-2</v>
      </c>
      <c r="E1485">
        <v>3.8100000000000002E-2</v>
      </c>
    </row>
    <row r="1486" spans="1:5" ht="14.25" customHeight="1">
      <c r="A1486" s="140">
        <v>42732</v>
      </c>
      <c r="B1486">
        <v>26210.68</v>
      </c>
      <c r="C1486">
        <v>273.35000000000002</v>
      </c>
      <c r="D1486">
        <v>-1.1E-4</v>
      </c>
      <c r="E1486">
        <v>1.1780000000000001E-2</v>
      </c>
    </row>
    <row r="1487" spans="1:5" ht="14.25" customHeight="1">
      <c r="A1487" s="140">
        <v>42733</v>
      </c>
      <c r="B1487">
        <v>26366.15</v>
      </c>
      <c r="C1487">
        <v>274.5</v>
      </c>
      <c r="D1487">
        <v>5.9100000000000003E-3</v>
      </c>
      <c r="E1487">
        <v>4.1999999999999997E-3</v>
      </c>
    </row>
    <row r="1488" spans="1:5" ht="14.25" customHeight="1">
      <c r="A1488" s="140">
        <v>42734</v>
      </c>
      <c r="B1488">
        <v>26626.46</v>
      </c>
      <c r="C1488">
        <v>277.05</v>
      </c>
      <c r="D1488">
        <v>9.8200000000000006E-3</v>
      </c>
      <c r="E1488">
        <v>9.2499999999999995E-3</v>
      </c>
    </row>
    <row r="1489" spans="1:5" ht="14.25" customHeight="1">
      <c r="A1489" s="140">
        <v>42737</v>
      </c>
      <c r="B1489">
        <v>26595.45</v>
      </c>
      <c r="C1489">
        <v>277.10000000000002</v>
      </c>
      <c r="D1489">
        <v>-1.17E-3</v>
      </c>
      <c r="E1489">
        <v>1.8000000000000001E-4</v>
      </c>
    </row>
    <row r="1490" spans="1:5" ht="14.25" customHeight="1">
      <c r="A1490" s="140">
        <v>42738</v>
      </c>
      <c r="B1490">
        <v>26643.24</v>
      </c>
      <c r="C1490">
        <v>275.35000000000002</v>
      </c>
      <c r="D1490">
        <v>1.8E-3</v>
      </c>
      <c r="E1490">
        <v>-6.3400000000000001E-3</v>
      </c>
    </row>
    <row r="1491" spans="1:5" ht="14.25" customHeight="1">
      <c r="A1491" s="140">
        <v>42739</v>
      </c>
      <c r="B1491">
        <v>26633.13</v>
      </c>
      <c r="C1491">
        <v>276.55</v>
      </c>
      <c r="D1491">
        <v>-3.8000000000000002E-4</v>
      </c>
      <c r="E1491">
        <v>4.3499999999999997E-3</v>
      </c>
    </row>
    <row r="1492" spans="1:5" ht="14.25" customHeight="1">
      <c r="A1492" s="140">
        <v>42740</v>
      </c>
      <c r="B1492">
        <v>26878.240000000002</v>
      </c>
      <c r="C1492">
        <v>278.7</v>
      </c>
      <c r="D1492">
        <v>9.1599999999999997E-3</v>
      </c>
      <c r="E1492">
        <v>7.7400000000000004E-3</v>
      </c>
    </row>
    <row r="1493" spans="1:5" ht="14.25" customHeight="1">
      <c r="A1493" s="140">
        <v>42741</v>
      </c>
      <c r="B1493">
        <v>26759.23</v>
      </c>
      <c r="C1493">
        <v>276.5</v>
      </c>
      <c r="D1493">
        <v>-4.4400000000000004E-3</v>
      </c>
      <c r="E1493">
        <v>-7.9299999999999995E-3</v>
      </c>
    </row>
    <row r="1494" spans="1:5" ht="14.25" customHeight="1">
      <c r="A1494" s="140">
        <v>42744</v>
      </c>
      <c r="B1494">
        <v>26726.55</v>
      </c>
      <c r="C1494">
        <v>274</v>
      </c>
      <c r="D1494">
        <v>-1.2199999999999999E-3</v>
      </c>
      <c r="E1494">
        <v>-9.0799999999999995E-3</v>
      </c>
    </row>
    <row r="1495" spans="1:5" ht="14.25" customHeight="1">
      <c r="A1495" s="140">
        <v>42745</v>
      </c>
      <c r="B1495">
        <v>26899.56</v>
      </c>
      <c r="C1495">
        <v>277.10000000000002</v>
      </c>
      <c r="D1495">
        <v>6.45E-3</v>
      </c>
      <c r="E1495">
        <v>1.125E-2</v>
      </c>
    </row>
    <row r="1496" spans="1:5" ht="14.25" customHeight="1">
      <c r="A1496" s="140">
        <v>42746</v>
      </c>
      <c r="B1496">
        <v>27140.41</v>
      </c>
      <c r="C1496">
        <v>277.5</v>
      </c>
      <c r="D1496">
        <v>8.9099999999999995E-3</v>
      </c>
      <c r="E1496">
        <v>1.4400000000000001E-3</v>
      </c>
    </row>
    <row r="1497" spans="1:5" ht="14.25" customHeight="1">
      <c r="A1497" s="140">
        <v>42747</v>
      </c>
      <c r="B1497">
        <v>27247.16</v>
      </c>
      <c r="C1497">
        <v>278.89999999999998</v>
      </c>
      <c r="D1497">
        <v>3.9300000000000003E-3</v>
      </c>
      <c r="E1497">
        <v>5.0299999999999997E-3</v>
      </c>
    </row>
    <row r="1498" spans="1:5" ht="14.25" customHeight="1">
      <c r="A1498" s="140">
        <v>42748</v>
      </c>
      <c r="B1498">
        <v>27238.06</v>
      </c>
      <c r="C1498">
        <v>281.45</v>
      </c>
      <c r="D1498">
        <v>-3.3E-4</v>
      </c>
      <c r="E1498">
        <v>9.1000000000000004E-3</v>
      </c>
    </row>
    <row r="1499" spans="1:5" ht="14.25" customHeight="1">
      <c r="A1499" s="140">
        <v>42751</v>
      </c>
      <c r="B1499">
        <v>27288.17</v>
      </c>
      <c r="C1499">
        <v>277.14999999999998</v>
      </c>
      <c r="D1499">
        <v>1.8400000000000001E-3</v>
      </c>
      <c r="E1499">
        <v>-1.54E-2</v>
      </c>
    </row>
    <row r="1500" spans="1:5" ht="14.25" customHeight="1">
      <c r="A1500" s="140">
        <v>42752</v>
      </c>
      <c r="B1500">
        <v>27235.66</v>
      </c>
      <c r="C1500">
        <v>277.39999999999998</v>
      </c>
      <c r="D1500">
        <v>-1.9300000000000001E-3</v>
      </c>
      <c r="E1500">
        <v>8.9999999999999998E-4</v>
      </c>
    </row>
    <row r="1501" spans="1:5" ht="14.25" customHeight="1">
      <c r="A1501" s="140">
        <v>42753</v>
      </c>
      <c r="B1501">
        <v>27257.64</v>
      </c>
      <c r="C1501">
        <v>278.5</v>
      </c>
      <c r="D1501">
        <v>8.0999999999999996E-4</v>
      </c>
      <c r="E1501">
        <v>3.96E-3</v>
      </c>
    </row>
    <row r="1502" spans="1:5" ht="14.25" customHeight="1">
      <c r="A1502" s="140">
        <v>42754</v>
      </c>
      <c r="B1502">
        <v>27308.6</v>
      </c>
      <c r="C1502">
        <v>276.64999999999998</v>
      </c>
      <c r="D1502">
        <v>1.8699999999999999E-3</v>
      </c>
      <c r="E1502">
        <v>-6.6600000000000001E-3</v>
      </c>
    </row>
    <row r="1503" spans="1:5" ht="14.25" customHeight="1">
      <c r="A1503" s="140">
        <v>42755</v>
      </c>
      <c r="B1503">
        <v>27034.5</v>
      </c>
      <c r="C1503">
        <v>275.55</v>
      </c>
      <c r="D1503">
        <v>-1.009E-2</v>
      </c>
      <c r="E1503">
        <v>-3.98E-3</v>
      </c>
    </row>
    <row r="1504" spans="1:5" ht="14.25" customHeight="1">
      <c r="A1504" s="140">
        <v>42758</v>
      </c>
      <c r="B1504">
        <v>27117.34</v>
      </c>
      <c r="C1504">
        <v>276.55</v>
      </c>
      <c r="D1504">
        <v>3.0599999999999998E-3</v>
      </c>
      <c r="E1504">
        <v>3.62E-3</v>
      </c>
    </row>
    <row r="1505" spans="1:5" ht="14.25" customHeight="1">
      <c r="A1505" s="140">
        <v>42759</v>
      </c>
      <c r="B1505">
        <v>27375.58</v>
      </c>
      <c r="C1505">
        <v>276.8</v>
      </c>
      <c r="D1505">
        <v>9.4800000000000006E-3</v>
      </c>
      <c r="E1505">
        <v>8.9999999999999998E-4</v>
      </c>
    </row>
    <row r="1506" spans="1:5" ht="14.25" customHeight="1">
      <c r="A1506" s="140">
        <v>42760</v>
      </c>
      <c r="B1506">
        <v>27708.14</v>
      </c>
      <c r="C1506">
        <v>282.35000000000002</v>
      </c>
      <c r="D1506">
        <v>1.2070000000000001E-2</v>
      </c>
      <c r="E1506">
        <v>1.985E-2</v>
      </c>
    </row>
    <row r="1507" spans="1:5" ht="14.25" customHeight="1">
      <c r="A1507" s="140">
        <v>42762</v>
      </c>
      <c r="B1507">
        <v>27882.46</v>
      </c>
      <c r="C1507">
        <v>277.7</v>
      </c>
      <c r="D1507">
        <v>6.2700000000000004E-3</v>
      </c>
      <c r="E1507">
        <v>-1.661E-2</v>
      </c>
    </row>
    <row r="1508" spans="1:5" ht="14.25" customHeight="1">
      <c r="A1508" s="140">
        <v>42765</v>
      </c>
      <c r="B1508">
        <v>27849.56</v>
      </c>
      <c r="C1508">
        <v>280.05</v>
      </c>
      <c r="D1508">
        <v>-1.1800000000000001E-3</v>
      </c>
      <c r="E1508">
        <v>8.43E-3</v>
      </c>
    </row>
    <row r="1509" spans="1:5" ht="14.25" customHeight="1">
      <c r="A1509" s="140">
        <v>42766</v>
      </c>
      <c r="B1509">
        <v>27655.96</v>
      </c>
      <c r="C1509">
        <v>276.25</v>
      </c>
      <c r="D1509">
        <v>-6.9800000000000001E-3</v>
      </c>
      <c r="E1509">
        <v>-1.366E-2</v>
      </c>
    </row>
    <row r="1510" spans="1:5" ht="14.25" customHeight="1">
      <c r="A1510" s="140">
        <v>42767</v>
      </c>
      <c r="B1510">
        <v>28141.64</v>
      </c>
      <c r="C1510">
        <v>276.2</v>
      </c>
      <c r="D1510">
        <v>1.7409999999999998E-2</v>
      </c>
      <c r="E1510">
        <v>-1.8000000000000001E-4</v>
      </c>
    </row>
    <row r="1511" spans="1:5" ht="14.25" customHeight="1">
      <c r="A1511" s="140">
        <v>42768</v>
      </c>
      <c r="B1511">
        <v>28226.61</v>
      </c>
      <c r="C1511">
        <v>273.8</v>
      </c>
      <c r="D1511">
        <v>3.0100000000000001E-3</v>
      </c>
      <c r="E1511">
        <v>-8.7299999999999999E-3</v>
      </c>
    </row>
    <row r="1512" spans="1:5" ht="14.25" customHeight="1">
      <c r="A1512" s="140">
        <v>42769</v>
      </c>
      <c r="B1512">
        <v>28240.52</v>
      </c>
      <c r="C1512">
        <v>269.3</v>
      </c>
      <c r="D1512">
        <v>4.8999999999999998E-4</v>
      </c>
      <c r="E1512">
        <v>-1.6570000000000001E-2</v>
      </c>
    </row>
    <row r="1513" spans="1:5" ht="14.25" customHeight="1">
      <c r="A1513" s="140">
        <v>42772</v>
      </c>
      <c r="B1513">
        <v>28439.279999999999</v>
      </c>
      <c r="C1513">
        <v>269.85000000000002</v>
      </c>
      <c r="D1513">
        <v>7.0099999999999997E-3</v>
      </c>
      <c r="E1513">
        <v>2.0400000000000001E-3</v>
      </c>
    </row>
    <row r="1514" spans="1:5" ht="14.25" customHeight="1">
      <c r="A1514" s="140">
        <v>42773</v>
      </c>
      <c r="B1514">
        <v>28335.16</v>
      </c>
      <c r="C1514">
        <v>266.45</v>
      </c>
      <c r="D1514">
        <v>-3.6700000000000001E-3</v>
      </c>
      <c r="E1514">
        <v>-1.268E-2</v>
      </c>
    </row>
    <row r="1515" spans="1:5" ht="14.25" customHeight="1">
      <c r="A1515" s="140">
        <v>42774</v>
      </c>
      <c r="B1515">
        <v>28289.919999999998</v>
      </c>
      <c r="C1515">
        <v>266</v>
      </c>
      <c r="D1515">
        <v>-1.6000000000000001E-3</v>
      </c>
      <c r="E1515">
        <v>-1.6900000000000001E-3</v>
      </c>
    </row>
    <row r="1516" spans="1:5" ht="14.25" customHeight="1">
      <c r="A1516" s="140">
        <v>42775</v>
      </c>
      <c r="B1516">
        <v>28329.7</v>
      </c>
      <c r="C1516">
        <v>265.14999999999998</v>
      </c>
      <c r="D1516">
        <v>1.41E-3</v>
      </c>
      <c r="E1516">
        <v>-3.2000000000000002E-3</v>
      </c>
    </row>
    <row r="1517" spans="1:5" ht="14.25" customHeight="1">
      <c r="A1517" s="140">
        <v>42776</v>
      </c>
      <c r="B1517">
        <v>28334.25</v>
      </c>
      <c r="C1517">
        <v>264.35000000000002</v>
      </c>
      <c r="D1517">
        <v>1.6000000000000001E-4</v>
      </c>
      <c r="E1517">
        <v>-3.0200000000000001E-3</v>
      </c>
    </row>
    <row r="1518" spans="1:5" ht="14.25" customHeight="1">
      <c r="A1518" s="140">
        <v>42779</v>
      </c>
      <c r="B1518">
        <v>28351.62</v>
      </c>
      <c r="C1518">
        <v>268.45</v>
      </c>
      <c r="D1518">
        <v>6.0999999999999997E-4</v>
      </c>
      <c r="E1518">
        <v>1.5389999999999999E-2</v>
      </c>
    </row>
    <row r="1519" spans="1:5" ht="14.25" customHeight="1">
      <c r="A1519" s="140">
        <v>42780</v>
      </c>
      <c r="B1519">
        <v>28339.31</v>
      </c>
      <c r="C1519">
        <v>269.25</v>
      </c>
      <c r="D1519">
        <v>-4.2999999999999999E-4</v>
      </c>
      <c r="E1519">
        <v>2.98E-3</v>
      </c>
    </row>
    <row r="1520" spans="1:5" ht="14.25" customHeight="1">
      <c r="A1520" s="140">
        <v>42781</v>
      </c>
      <c r="B1520">
        <v>28155.56</v>
      </c>
      <c r="C1520">
        <v>264.85000000000002</v>
      </c>
      <c r="D1520">
        <v>-6.5100000000000002E-3</v>
      </c>
      <c r="E1520">
        <v>-1.6480000000000002E-2</v>
      </c>
    </row>
    <row r="1521" spans="1:5" ht="14.25" customHeight="1">
      <c r="A1521" s="140">
        <v>42782</v>
      </c>
      <c r="B1521">
        <v>28301.27</v>
      </c>
      <c r="C1521">
        <v>266.45</v>
      </c>
      <c r="D1521">
        <v>5.1599999999999997E-3</v>
      </c>
      <c r="E1521">
        <v>6.0200000000000002E-3</v>
      </c>
    </row>
    <row r="1522" spans="1:5" ht="14.25" customHeight="1">
      <c r="A1522" s="140">
        <v>42783</v>
      </c>
      <c r="B1522">
        <v>28468.75</v>
      </c>
      <c r="C1522">
        <v>265.45</v>
      </c>
      <c r="D1522">
        <v>5.8999999999999999E-3</v>
      </c>
      <c r="E1522">
        <v>-3.7599999999999999E-3</v>
      </c>
    </row>
    <row r="1523" spans="1:5" ht="14.25" customHeight="1">
      <c r="A1523" s="140">
        <v>42786</v>
      </c>
      <c r="B1523">
        <v>28661.58</v>
      </c>
      <c r="C1523">
        <v>265.10000000000002</v>
      </c>
      <c r="D1523">
        <v>6.7499999999999999E-3</v>
      </c>
      <c r="E1523">
        <v>-1.32E-3</v>
      </c>
    </row>
    <row r="1524" spans="1:5" ht="14.25" customHeight="1">
      <c r="A1524" s="140">
        <v>42787</v>
      </c>
      <c r="B1524">
        <v>28761.59</v>
      </c>
      <c r="C1524">
        <v>272.60000000000002</v>
      </c>
      <c r="D1524">
        <v>3.48E-3</v>
      </c>
      <c r="E1524">
        <v>2.7900000000000001E-2</v>
      </c>
    </row>
    <row r="1525" spans="1:5" ht="14.25" customHeight="1">
      <c r="A1525" s="140">
        <v>42788</v>
      </c>
      <c r="B1525">
        <v>28864.71</v>
      </c>
      <c r="C1525">
        <v>269.95</v>
      </c>
      <c r="D1525">
        <v>3.5799999999999998E-3</v>
      </c>
      <c r="E1525">
        <v>-9.7699999999999992E-3</v>
      </c>
    </row>
    <row r="1526" spans="1:5" ht="14.25" customHeight="1">
      <c r="A1526" s="140">
        <v>42789</v>
      </c>
      <c r="B1526">
        <v>28892.97</v>
      </c>
      <c r="C1526">
        <v>269.7</v>
      </c>
      <c r="D1526">
        <v>9.7999999999999997E-4</v>
      </c>
      <c r="E1526">
        <v>-9.3000000000000005E-4</v>
      </c>
    </row>
    <row r="1527" spans="1:5" ht="14.25" customHeight="1">
      <c r="A1527" s="140">
        <v>42793</v>
      </c>
      <c r="B1527">
        <v>28812.880000000001</v>
      </c>
      <c r="C1527">
        <v>272.14999999999998</v>
      </c>
      <c r="D1527">
        <v>-2.7799999999999999E-3</v>
      </c>
      <c r="E1527">
        <v>9.0399999999999994E-3</v>
      </c>
    </row>
    <row r="1528" spans="1:5" ht="14.25" customHeight="1">
      <c r="A1528" s="140">
        <v>42794</v>
      </c>
      <c r="B1528">
        <v>28743.32</v>
      </c>
      <c r="C1528">
        <v>275.85000000000002</v>
      </c>
      <c r="D1528">
        <v>-2.4199999999999998E-3</v>
      </c>
      <c r="E1528">
        <v>1.35E-2</v>
      </c>
    </row>
    <row r="1529" spans="1:5" ht="14.25" customHeight="1">
      <c r="A1529" s="140">
        <v>42795</v>
      </c>
      <c r="B1529">
        <v>28984.49</v>
      </c>
      <c r="C1529">
        <v>275.8</v>
      </c>
      <c r="D1529">
        <v>8.3599999999999994E-3</v>
      </c>
      <c r="E1529">
        <v>-1.8000000000000001E-4</v>
      </c>
    </row>
    <row r="1530" spans="1:5" ht="14.25" customHeight="1">
      <c r="A1530" s="140">
        <v>42796</v>
      </c>
      <c r="B1530">
        <v>28839.79</v>
      </c>
      <c r="C1530">
        <v>276</v>
      </c>
      <c r="D1530">
        <v>-5.0000000000000001E-3</v>
      </c>
      <c r="E1530">
        <v>7.2000000000000005E-4</v>
      </c>
    </row>
    <row r="1531" spans="1:5" ht="14.25" customHeight="1">
      <c r="A1531" s="140">
        <v>42797</v>
      </c>
      <c r="B1531">
        <v>28832.45</v>
      </c>
      <c r="C1531">
        <v>276.95</v>
      </c>
      <c r="D1531">
        <v>-2.5000000000000001E-4</v>
      </c>
      <c r="E1531">
        <v>3.4399999999999999E-3</v>
      </c>
    </row>
    <row r="1532" spans="1:5" ht="14.25" customHeight="1">
      <c r="A1532" s="140">
        <v>42800</v>
      </c>
      <c r="B1532">
        <v>29048.19</v>
      </c>
      <c r="C1532">
        <v>277.60000000000002</v>
      </c>
      <c r="D1532">
        <v>7.45E-3</v>
      </c>
      <c r="E1532">
        <v>2.3400000000000001E-3</v>
      </c>
    </row>
    <row r="1533" spans="1:5" ht="14.25" customHeight="1">
      <c r="A1533" s="140">
        <v>42801</v>
      </c>
      <c r="B1533">
        <v>28999.56</v>
      </c>
      <c r="C1533">
        <v>275.89999999999998</v>
      </c>
      <c r="D1533">
        <v>-1.6800000000000001E-3</v>
      </c>
      <c r="E1533">
        <v>-6.1399999999999996E-3</v>
      </c>
    </row>
    <row r="1534" spans="1:5" ht="14.25" customHeight="1">
      <c r="A1534" s="140">
        <v>42802</v>
      </c>
      <c r="B1534">
        <v>28901.94</v>
      </c>
      <c r="C1534">
        <v>274.55</v>
      </c>
      <c r="D1534">
        <v>-3.3700000000000002E-3</v>
      </c>
      <c r="E1534">
        <v>-4.9100000000000003E-3</v>
      </c>
    </row>
    <row r="1535" spans="1:5" ht="14.25" customHeight="1">
      <c r="A1535" s="140">
        <v>42803</v>
      </c>
      <c r="B1535">
        <v>28929.13</v>
      </c>
      <c r="C1535">
        <v>274.64999999999998</v>
      </c>
      <c r="D1535">
        <v>9.3999999999999997E-4</v>
      </c>
      <c r="E1535">
        <v>3.6000000000000002E-4</v>
      </c>
    </row>
    <row r="1536" spans="1:5" ht="14.25" customHeight="1">
      <c r="A1536" s="140">
        <v>42804</v>
      </c>
      <c r="B1536">
        <v>28946.23</v>
      </c>
      <c r="C1536">
        <v>273.25</v>
      </c>
      <c r="D1536">
        <v>5.9000000000000003E-4</v>
      </c>
      <c r="E1536">
        <v>-5.11E-3</v>
      </c>
    </row>
    <row r="1537" spans="1:5" ht="14.25" customHeight="1">
      <c r="A1537" s="140">
        <v>42808</v>
      </c>
      <c r="B1537">
        <v>29442.63</v>
      </c>
      <c r="C1537">
        <v>273.35000000000002</v>
      </c>
      <c r="D1537">
        <v>1.7000000000000001E-2</v>
      </c>
      <c r="E1537">
        <v>3.6999999999999999E-4</v>
      </c>
    </row>
    <row r="1538" spans="1:5" ht="14.25" customHeight="1">
      <c r="A1538" s="140">
        <v>42809</v>
      </c>
      <c r="B1538">
        <v>29398.11</v>
      </c>
      <c r="C1538">
        <v>274.3</v>
      </c>
      <c r="D1538">
        <v>-1.5100000000000001E-3</v>
      </c>
      <c r="E1538">
        <v>3.47E-3</v>
      </c>
    </row>
    <row r="1539" spans="1:5" ht="14.25" customHeight="1">
      <c r="A1539" s="140">
        <v>42810</v>
      </c>
      <c r="B1539">
        <v>29585.85</v>
      </c>
      <c r="C1539">
        <v>274.45</v>
      </c>
      <c r="D1539">
        <v>6.3699999999999998E-3</v>
      </c>
      <c r="E1539">
        <v>5.5000000000000003E-4</v>
      </c>
    </row>
    <row r="1540" spans="1:5" ht="14.25" customHeight="1">
      <c r="A1540" s="140">
        <v>42811</v>
      </c>
      <c r="B1540">
        <v>29648.99</v>
      </c>
      <c r="C1540">
        <v>278.05</v>
      </c>
      <c r="D1540">
        <v>2.1299999999999999E-3</v>
      </c>
      <c r="E1540">
        <v>1.303E-2</v>
      </c>
    </row>
    <row r="1541" spans="1:5" ht="14.25" customHeight="1">
      <c r="A1541" s="140">
        <v>42814</v>
      </c>
      <c r="B1541">
        <v>29518.74</v>
      </c>
      <c r="C1541">
        <v>279.64999999999998</v>
      </c>
      <c r="D1541">
        <v>-4.4000000000000003E-3</v>
      </c>
      <c r="E1541">
        <v>5.7400000000000003E-3</v>
      </c>
    </row>
    <row r="1542" spans="1:5" ht="14.25" customHeight="1">
      <c r="A1542" s="140">
        <v>42815</v>
      </c>
      <c r="B1542">
        <v>29485.45</v>
      </c>
      <c r="C1542">
        <v>281.39999999999998</v>
      </c>
      <c r="D1542">
        <v>-1.1299999999999999E-3</v>
      </c>
      <c r="E1542">
        <v>6.2399999999999999E-3</v>
      </c>
    </row>
    <row r="1543" spans="1:5" ht="14.25" customHeight="1">
      <c r="A1543" s="140">
        <v>42816</v>
      </c>
      <c r="B1543">
        <v>29167.68</v>
      </c>
      <c r="C1543">
        <v>283.7</v>
      </c>
      <c r="D1543">
        <v>-1.0840000000000001E-2</v>
      </c>
      <c r="E1543">
        <v>8.1399999999999997E-3</v>
      </c>
    </row>
    <row r="1544" spans="1:5" ht="14.25" customHeight="1">
      <c r="A1544" s="140">
        <v>42817</v>
      </c>
      <c r="B1544">
        <v>29332.16</v>
      </c>
      <c r="C1544">
        <v>281.64999999999998</v>
      </c>
      <c r="D1544">
        <v>5.62E-3</v>
      </c>
      <c r="E1544">
        <v>-7.2500000000000004E-3</v>
      </c>
    </row>
    <row r="1545" spans="1:5" ht="14.25" customHeight="1">
      <c r="A1545" s="140">
        <v>42818</v>
      </c>
      <c r="B1545">
        <v>29421.4</v>
      </c>
      <c r="C1545">
        <v>281.45</v>
      </c>
      <c r="D1545">
        <v>3.0400000000000002E-3</v>
      </c>
      <c r="E1545">
        <v>-7.1000000000000002E-4</v>
      </c>
    </row>
    <row r="1546" spans="1:5" ht="14.25" customHeight="1">
      <c r="A1546" s="140">
        <v>42821</v>
      </c>
      <c r="B1546">
        <v>29237.15</v>
      </c>
      <c r="C1546">
        <v>274.10000000000002</v>
      </c>
      <c r="D1546">
        <v>-6.28E-3</v>
      </c>
      <c r="E1546">
        <v>-2.6460000000000001E-2</v>
      </c>
    </row>
    <row r="1547" spans="1:5" ht="14.25" customHeight="1">
      <c r="A1547" s="140">
        <v>42822</v>
      </c>
      <c r="B1547">
        <v>29409.52</v>
      </c>
      <c r="C1547">
        <v>275.45</v>
      </c>
      <c r="D1547">
        <v>5.8799999999999998E-3</v>
      </c>
      <c r="E1547">
        <v>4.9100000000000003E-3</v>
      </c>
    </row>
    <row r="1548" spans="1:5" ht="14.25" customHeight="1">
      <c r="A1548" s="140">
        <v>42823</v>
      </c>
      <c r="B1548">
        <v>29531.43</v>
      </c>
      <c r="C1548">
        <v>275.35000000000002</v>
      </c>
      <c r="D1548">
        <v>4.1399999999999996E-3</v>
      </c>
      <c r="E1548">
        <v>-3.6000000000000002E-4</v>
      </c>
    </row>
    <row r="1549" spans="1:5" ht="14.25" customHeight="1">
      <c r="A1549" s="140">
        <v>42824</v>
      </c>
      <c r="B1549">
        <v>29647.42</v>
      </c>
      <c r="C1549">
        <v>274.05</v>
      </c>
      <c r="D1549">
        <v>3.9199999999999999E-3</v>
      </c>
      <c r="E1549">
        <v>-4.7299999999999998E-3</v>
      </c>
    </row>
    <row r="1550" spans="1:5" ht="14.25" customHeight="1">
      <c r="A1550" s="140">
        <v>42825</v>
      </c>
      <c r="B1550">
        <v>29620.5</v>
      </c>
      <c r="C1550">
        <v>277.14999999999998</v>
      </c>
      <c r="D1550">
        <v>-9.1E-4</v>
      </c>
      <c r="E1550">
        <v>1.125E-2</v>
      </c>
    </row>
    <row r="1551" spans="1:5" ht="14.25" customHeight="1">
      <c r="A1551" s="140">
        <v>42828</v>
      </c>
      <c r="B1551">
        <v>29910.22</v>
      </c>
      <c r="C1551">
        <v>279.7</v>
      </c>
      <c r="D1551">
        <v>9.7300000000000008E-3</v>
      </c>
      <c r="E1551">
        <v>9.1599999999999997E-3</v>
      </c>
    </row>
    <row r="1552" spans="1:5" ht="14.25" customHeight="1">
      <c r="A1552" s="140">
        <v>42830</v>
      </c>
      <c r="B1552">
        <v>29974.240000000002</v>
      </c>
      <c r="C1552">
        <v>283.7</v>
      </c>
      <c r="D1552">
        <v>2.14E-3</v>
      </c>
      <c r="E1552">
        <v>1.4200000000000001E-2</v>
      </c>
    </row>
    <row r="1553" spans="1:5" ht="14.25" customHeight="1">
      <c r="A1553" s="140">
        <v>42831</v>
      </c>
      <c r="B1553">
        <v>29927.34</v>
      </c>
      <c r="C1553">
        <v>284.55</v>
      </c>
      <c r="D1553">
        <v>-1.57E-3</v>
      </c>
      <c r="E1553">
        <v>2.99E-3</v>
      </c>
    </row>
    <row r="1554" spans="1:5" ht="14.25" customHeight="1">
      <c r="A1554" s="140">
        <v>42832</v>
      </c>
      <c r="B1554">
        <v>29706.61</v>
      </c>
      <c r="C1554">
        <v>281.45</v>
      </c>
      <c r="D1554">
        <v>-7.4000000000000003E-3</v>
      </c>
      <c r="E1554">
        <v>-1.095E-2</v>
      </c>
    </row>
    <row r="1555" spans="1:5" ht="14.25" customHeight="1">
      <c r="A1555" s="140">
        <v>42835</v>
      </c>
      <c r="B1555">
        <v>29575.74</v>
      </c>
      <c r="C1555">
        <v>286.7</v>
      </c>
      <c r="D1555">
        <v>-4.4200000000000003E-3</v>
      </c>
      <c r="E1555">
        <v>1.848E-2</v>
      </c>
    </row>
    <row r="1556" spans="1:5" ht="14.25" customHeight="1">
      <c r="A1556" s="140">
        <v>42836</v>
      </c>
      <c r="B1556">
        <v>29788.35</v>
      </c>
      <c r="C1556">
        <v>289.25</v>
      </c>
      <c r="D1556">
        <v>7.1599999999999997E-3</v>
      </c>
      <c r="E1556">
        <v>8.8500000000000002E-3</v>
      </c>
    </row>
    <row r="1557" spans="1:5" ht="14.25" customHeight="1">
      <c r="A1557" s="140">
        <v>42837</v>
      </c>
      <c r="B1557">
        <v>29643.48</v>
      </c>
      <c r="C1557">
        <v>288.39999999999998</v>
      </c>
      <c r="D1557">
        <v>-4.8799999999999998E-3</v>
      </c>
      <c r="E1557">
        <v>-2.9399999999999999E-3</v>
      </c>
    </row>
    <row r="1558" spans="1:5" ht="14.25" customHeight="1">
      <c r="A1558" s="140">
        <v>42838</v>
      </c>
      <c r="B1558">
        <v>29461.45</v>
      </c>
      <c r="C1558">
        <v>286.55</v>
      </c>
      <c r="D1558">
        <v>-6.1599999999999997E-3</v>
      </c>
      <c r="E1558">
        <v>-6.4400000000000004E-3</v>
      </c>
    </row>
    <row r="1559" spans="1:5" ht="14.25" customHeight="1">
      <c r="A1559" s="140">
        <v>42842</v>
      </c>
      <c r="B1559">
        <v>29413.66</v>
      </c>
      <c r="C1559">
        <v>292.25</v>
      </c>
      <c r="D1559">
        <v>-1.6199999999999999E-3</v>
      </c>
      <c r="E1559">
        <v>1.9699999999999999E-2</v>
      </c>
    </row>
    <row r="1560" spans="1:5" ht="14.25" customHeight="1">
      <c r="A1560" s="140">
        <v>42843</v>
      </c>
      <c r="B1560">
        <v>29319.1</v>
      </c>
      <c r="C1560">
        <v>288.75</v>
      </c>
      <c r="D1560">
        <v>-3.2200000000000002E-3</v>
      </c>
      <c r="E1560">
        <v>-1.205E-2</v>
      </c>
    </row>
    <row r="1561" spans="1:5" ht="14.25" customHeight="1">
      <c r="A1561" s="140">
        <v>42844</v>
      </c>
      <c r="B1561">
        <v>29336.57</v>
      </c>
      <c r="C1561">
        <v>290.2</v>
      </c>
      <c r="D1561">
        <v>5.9999999999999995E-4</v>
      </c>
      <c r="E1561">
        <v>5.0099999999999997E-3</v>
      </c>
    </row>
    <row r="1562" spans="1:5" ht="14.25" customHeight="1">
      <c r="A1562" s="140">
        <v>42845</v>
      </c>
      <c r="B1562">
        <v>29422.39</v>
      </c>
      <c r="C1562">
        <v>290.60000000000002</v>
      </c>
      <c r="D1562">
        <v>2.9199999999999999E-3</v>
      </c>
      <c r="E1562">
        <v>1.3799999999999999E-3</v>
      </c>
    </row>
    <row r="1563" spans="1:5" ht="14.25" customHeight="1">
      <c r="A1563" s="140">
        <v>42846</v>
      </c>
      <c r="B1563">
        <v>29365.3</v>
      </c>
      <c r="C1563">
        <v>290.3</v>
      </c>
      <c r="D1563">
        <v>-1.9400000000000001E-3</v>
      </c>
      <c r="E1563">
        <v>-1.0300000000000001E-3</v>
      </c>
    </row>
    <row r="1564" spans="1:5" ht="14.25" customHeight="1">
      <c r="A1564" s="140">
        <v>42849</v>
      </c>
      <c r="B1564">
        <v>29655.84</v>
      </c>
      <c r="C1564">
        <v>292.75</v>
      </c>
      <c r="D1564">
        <v>9.8499999999999994E-3</v>
      </c>
      <c r="E1564">
        <v>8.3999999999999995E-3</v>
      </c>
    </row>
    <row r="1565" spans="1:5" ht="14.25" customHeight="1">
      <c r="A1565" s="140">
        <v>42850</v>
      </c>
      <c r="B1565">
        <v>29943.24</v>
      </c>
      <c r="C1565">
        <v>293.60000000000002</v>
      </c>
      <c r="D1565">
        <v>9.6399999999999993E-3</v>
      </c>
      <c r="E1565">
        <v>2.8999999999999998E-3</v>
      </c>
    </row>
    <row r="1566" spans="1:5" ht="14.25" customHeight="1">
      <c r="A1566" s="140">
        <v>42851</v>
      </c>
      <c r="B1566">
        <v>30133.35</v>
      </c>
      <c r="C1566">
        <v>294.2</v>
      </c>
      <c r="D1566">
        <v>6.3299999999999997E-3</v>
      </c>
      <c r="E1566">
        <v>2.0400000000000001E-3</v>
      </c>
    </row>
    <row r="1567" spans="1:5" ht="14.25" customHeight="1">
      <c r="A1567" s="140">
        <v>42852</v>
      </c>
      <c r="B1567">
        <v>30029.74</v>
      </c>
      <c r="C1567">
        <v>288.55</v>
      </c>
      <c r="D1567">
        <v>-3.4399999999999999E-3</v>
      </c>
      <c r="E1567">
        <v>-1.9390000000000001E-2</v>
      </c>
    </row>
    <row r="1568" spans="1:5" ht="14.25" customHeight="1">
      <c r="A1568" s="140">
        <v>42853</v>
      </c>
      <c r="B1568">
        <v>29918.400000000001</v>
      </c>
      <c r="C1568">
        <v>286.55</v>
      </c>
      <c r="D1568">
        <v>-3.7100000000000002E-3</v>
      </c>
      <c r="E1568">
        <v>-6.96E-3</v>
      </c>
    </row>
    <row r="1569" spans="1:5" ht="14.25" customHeight="1">
      <c r="A1569" s="140">
        <v>42857</v>
      </c>
      <c r="B1569">
        <v>29921.18</v>
      </c>
      <c r="C1569">
        <v>284.10000000000002</v>
      </c>
      <c r="D1569">
        <v>9.0000000000000006E-5</v>
      </c>
      <c r="E1569">
        <v>-8.5900000000000004E-3</v>
      </c>
    </row>
    <row r="1570" spans="1:5" ht="14.25" customHeight="1">
      <c r="A1570" s="140">
        <v>42858</v>
      </c>
      <c r="B1570">
        <v>29894.799999999999</v>
      </c>
      <c r="C1570">
        <v>275.8</v>
      </c>
      <c r="D1570">
        <v>-8.8000000000000003E-4</v>
      </c>
      <c r="E1570">
        <v>-2.9649999999999999E-2</v>
      </c>
    </row>
    <row r="1571" spans="1:5" ht="14.25" customHeight="1">
      <c r="A1571" s="140">
        <v>42859</v>
      </c>
      <c r="B1571">
        <v>30126.21</v>
      </c>
      <c r="C1571">
        <v>277.05</v>
      </c>
      <c r="D1571">
        <v>7.7099999999999998E-3</v>
      </c>
      <c r="E1571">
        <v>4.5199999999999997E-3</v>
      </c>
    </row>
    <row r="1572" spans="1:5" ht="14.25" customHeight="1">
      <c r="A1572" s="140">
        <v>42860</v>
      </c>
      <c r="B1572">
        <v>29858.799999999999</v>
      </c>
      <c r="C1572">
        <v>272.89999999999998</v>
      </c>
      <c r="D1572">
        <v>-8.9200000000000008E-3</v>
      </c>
      <c r="E1572">
        <v>-1.5089999999999999E-2</v>
      </c>
    </row>
    <row r="1573" spans="1:5" ht="14.25" customHeight="1">
      <c r="A1573" s="140">
        <v>42863</v>
      </c>
      <c r="B1573">
        <v>29926.15</v>
      </c>
      <c r="C1573">
        <v>273.25</v>
      </c>
      <c r="D1573">
        <v>2.2499999999999998E-3</v>
      </c>
      <c r="E1573">
        <v>1.2800000000000001E-3</v>
      </c>
    </row>
    <row r="1574" spans="1:5" ht="14.25" customHeight="1">
      <c r="A1574" s="140">
        <v>42864</v>
      </c>
      <c r="B1574">
        <v>29933.25</v>
      </c>
      <c r="C1574">
        <v>273.45</v>
      </c>
      <c r="D1574">
        <v>2.4000000000000001E-4</v>
      </c>
      <c r="E1574">
        <v>7.2999999999999996E-4</v>
      </c>
    </row>
    <row r="1575" spans="1:5" ht="14.25" customHeight="1">
      <c r="A1575" s="140">
        <v>42865</v>
      </c>
      <c r="B1575">
        <v>30248.17</v>
      </c>
      <c r="C1575">
        <v>282.2</v>
      </c>
      <c r="D1575">
        <v>1.047E-2</v>
      </c>
      <c r="E1575">
        <v>3.15E-2</v>
      </c>
    </row>
    <row r="1576" spans="1:5" ht="14.25" customHeight="1">
      <c r="A1576" s="140">
        <v>42866</v>
      </c>
      <c r="B1576">
        <v>30250.98</v>
      </c>
      <c r="C1576">
        <v>278.39999999999998</v>
      </c>
      <c r="D1576">
        <v>9.0000000000000006E-5</v>
      </c>
      <c r="E1576">
        <v>-1.3559999999999999E-2</v>
      </c>
    </row>
    <row r="1577" spans="1:5" ht="14.25" customHeight="1">
      <c r="A1577" s="140">
        <v>42867</v>
      </c>
      <c r="B1577">
        <v>30188.15</v>
      </c>
      <c r="C1577">
        <v>280.39999999999998</v>
      </c>
      <c r="D1577">
        <v>-2.0799999999999998E-3</v>
      </c>
      <c r="E1577">
        <v>7.1599999999999997E-3</v>
      </c>
    </row>
    <row r="1578" spans="1:5" ht="14.25" customHeight="1">
      <c r="A1578" s="140">
        <v>42870</v>
      </c>
      <c r="B1578">
        <v>30322.12</v>
      </c>
      <c r="C1578">
        <v>276.5</v>
      </c>
      <c r="D1578">
        <v>4.4299999999999999E-3</v>
      </c>
      <c r="E1578">
        <v>-1.401E-2</v>
      </c>
    </row>
    <row r="1579" spans="1:5" ht="14.25" customHeight="1">
      <c r="A1579" s="140">
        <v>42871</v>
      </c>
      <c r="B1579">
        <v>30582.6</v>
      </c>
      <c r="C1579">
        <v>273.89999999999998</v>
      </c>
      <c r="D1579">
        <v>8.5500000000000003E-3</v>
      </c>
      <c r="E1579">
        <v>-9.4500000000000001E-3</v>
      </c>
    </row>
    <row r="1580" spans="1:5" ht="14.25" customHeight="1">
      <c r="A1580" s="140">
        <v>42872</v>
      </c>
      <c r="B1580">
        <v>30658.77</v>
      </c>
      <c r="C1580">
        <v>276.14999999999998</v>
      </c>
      <c r="D1580">
        <v>2.49E-3</v>
      </c>
      <c r="E1580">
        <v>8.1799999999999998E-3</v>
      </c>
    </row>
    <row r="1581" spans="1:5" ht="14.25" customHeight="1">
      <c r="A1581" s="140">
        <v>42873</v>
      </c>
      <c r="B1581">
        <v>30434.79</v>
      </c>
      <c r="C1581">
        <v>272.45</v>
      </c>
      <c r="D1581">
        <v>-7.3299999999999997E-3</v>
      </c>
      <c r="E1581">
        <v>-1.349E-2</v>
      </c>
    </row>
    <row r="1582" spans="1:5" ht="14.25" customHeight="1">
      <c r="A1582" s="140">
        <v>42874</v>
      </c>
      <c r="B1582">
        <v>30464.92</v>
      </c>
      <c r="C1582">
        <v>275.5</v>
      </c>
      <c r="D1582">
        <v>9.8999999999999999E-4</v>
      </c>
      <c r="E1582">
        <v>1.1129999999999999E-2</v>
      </c>
    </row>
    <row r="1583" spans="1:5" ht="14.25" customHeight="1">
      <c r="A1583" s="140">
        <v>42877</v>
      </c>
      <c r="B1583">
        <v>30570.97</v>
      </c>
      <c r="C1583">
        <v>277.25</v>
      </c>
      <c r="D1583">
        <v>3.48E-3</v>
      </c>
      <c r="E1583">
        <v>6.3299999999999997E-3</v>
      </c>
    </row>
    <row r="1584" spans="1:5" ht="14.25" customHeight="1">
      <c r="A1584" s="140">
        <v>42878</v>
      </c>
      <c r="B1584">
        <v>30365.25</v>
      </c>
      <c r="C1584">
        <v>273.75</v>
      </c>
      <c r="D1584">
        <v>-6.7499999999999999E-3</v>
      </c>
      <c r="E1584">
        <v>-1.2699999999999999E-2</v>
      </c>
    </row>
    <row r="1585" spans="1:5" ht="14.25" customHeight="1">
      <c r="A1585" s="140">
        <v>42879</v>
      </c>
      <c r="B1585">
        <v>30301.64</v>
      </c>
      <c r="C1585">
        <v>269.2</v>
      </c>
      <c r="D1585">
        <v>-2.0999999999999999E-3</v>
      </c>
      <c r="E1585">
        <v>-1.6760000000000001E-2</v>
      </c>
    </row>
    <row r="1586" spans="1:5" ht="14.25" customHeight="1">
      <c r="A1586" s="140">
        <v>42880</v>
      </c>
      <c r="B1586">
        <v>30750.03</v>
      </c>
      <c r="C1586">
        <v>269.75</v>
      </c>
      <c r="D1586">
        <v>1.469E-2</v>
      </c>
      <c r="E1586">
        <v>2.0400000000000001E-3</v>
      </c>
    </row>
    <row r="1587" spans="1:5" ht="14.25" customHeight="1">
      <c r="A1587" s="140">
        <v>42881</v>
      </c>
      <c r="B1587">
        <v>31028.21</v>
      </c>
      <c r="C1587">
        <v>270.5</v>
      </c>
      <c r="D1587">
        <v>9.0100000000000006E-3</v>
      </c>
      <c r="E1587">
        <v>2.7799999999999999E-3</v>
      </c>
    </row>
    <row r="1588" spans="1:5" ht="14.25" customHeight="1">
      <c r="A1588" s="140">
        <v>42884</v>
      </c>
      <c r="B1588">
        <v>31109.279999999999</v>
      </c>
      <c r="C1588">
        <v>278.5</v>
      </c>
      <c r="D1588">
        <v>2.6099999999999999E-3</v>
      </c>
      <c r="E1588">
        <v>2.9149999999999999E-2</v>
      </c>
    </row>
    <row r="1589" spans="1:5" ht="14.25" customHeight="1">
      <c r="A1589" s="140">
        <v>42885</v>
      </c>
      <c r="B1589">
        <v>31159.4</v>
      </c>
      <c r="C1589">
        <v>278.25</v>
      </c>
      <c r="D1589">
        <v>1.6100000000000001E-3</v>
      </c>
      <c r="E1589">
        <v>-8.9999999999999998E-4</v>
      </c>
    </row>
    <row r="1590" spans="1:5" ht="14.25" customHeight="1">
      <c r="A1590" s="140">
        <v>42886</v>
      </c>
      <c r="B1590">
        <v>31145.8</v>
      </c>
      <c r="C1590">
        <v>279.60000000000002</v>
      </c>
      <c r="D1590">
        <v>-4.4000000000000002E-4</v>
      </c>
      <c r="E1590">
        <v>4.8399999999999997E-3</v>
      </c>
    </row>
    <row r="1591" spans="1:5" ht="14.25" customHeight="1">
      <c r="A1591" s="140">
        <v>42887</v>
      </c>
      <c r="B1591">
        <v>31137.59</v>
      </c>
      <c r="C1591">
        <v>285</v>
      </c>
      <c r="D1591">
        <v>-2.5999999999999998E-4</v>
      </c>
      <c r="E1591">
        <v>1.9130000000000001E-2</v>
      </c>
    </row>
    <row r="1592" spans="1:5" ht="14.25" customHeight="1">
      <c r="A1592" s="140">
        <v>42888</v>
      </c>
      <c r="B1592">
        <v>31273.29</v>
      </c>
      <c r="C1592">
        <v>284.10000000000002</v>
      </c>
      <c r="D1592">
        <v>4.3499999999999997E-3</v>
      </c>
      <c r="E1592">
        <v>-3.16E-3</v>
      </c>
    </row>
    <row r="1593" spans="1:5" ht="14.25" customHeight="1">
      <c r="A1593" s="140">
        <v>42891</v>
      </c>
      <c r="B1593">
        <v>31309.49</v>
      </c>
      <c r="C1593">
        <v>285.95</v>
      </c>
      <c r="D1593">
        <v>1.16E-3</v>
      </c>
      <c r="E1593">
        <v>6.4900000000000001E-3</v>
      </c>
    </row>
    <row r="1594" spans="1:5" ht="14.25" customHeight="1">
      <c r="A1594" s="140">
        <v>42892</v>
      </c>
      <c r="B1594">
        <v>31190.560000000001</v>
      </c>
      <c r="C1594">
        <v>282.75</v>
      </c>
      <c r="D1594">
        <v>-3.81E-3</v>
      </c>
      <c r="E1594">
        <v>-1.125E-2</v>
      </c>
    </row>
    <row r="1595" spans="1:5" ht="14.25" customHeight="1">
      <c r="A1595" s="140">
        <v>42893</v>
      </c>
      <c r="B1595">
        <v>31271.279999999999</v>
      </c>
      <c r="C1595">
        <v>283.75</v>
      </c>
      <c r="D1595">
        <v>2.5799999999999998E-3</v>
      </c>
      <c r="E1595">
        <v>3.5300000000000002E-3</v>
      </c>
    </row>
    <row r="1596" spans="1:5" ht="14.25" customHeight="1">
      <c r="A1596" s="140">
        <v>42894</v>
      </c>
      <c r="B1596">
        <v>31213.360000000001</v>
      </c>
      <c r="C1596">
        <v>282.05</v>
      </c>
      <c r="D1596">
        <v>-1.8500000000000001E-3</v>
      </c>
      <c r="E1596">
        <v>-6.0099999999999997E-3</v>
      </c>
    </row>
    <row r="1597" spans="1:5" ht="14.25" customHeight="1">
      <c r="A1597" s="140">
        <v>42895</v>
      </c>
      <c r="B1597">
        <v>31262.06</v>
      </c>
      <c r="C1597">
        <v>281.75</v>
      </c>
      <c r="D1597">
        <v>1.56E-3</v>
      </c>
      <c r="E1597">
        <v>-1.06E-3</v>
      </c>
    </row>
    <row r="1598" spans="1:5" ht="14.25" customHeight="1">
      <c r="A1598" s="140">
        <v>42898</v>
      </c>
      <c r="B1598">
        <v>31095.7</v>
      </c>
      <c r="C1598">
        <v>284.10000000000002</v>
      </c>
      <c r="D1598">
        <v>-5.3400000000000001E-3</v>
      </c>
      <c r="E1598">
        <v>8.3099999999999997E-3</v>
      </c>
    </row>
    <row r="1599" spans="1:5" ht="14.25" customHeight="1">
      <c r="A1599" s="140">
        <v>42899</v>
      </c>
      <c r="B1599">
        <v>31103.49</v>
      </c>
      <c r="C1599">
        <v>291.10000000000002</v>
      </c>
      <c r="D1599">
        <v>2.5000000000000001E-4</v>
      </c>
      <c r="E1599">
        <v>2.4340000000000001E-2</v>
      </c>
    </row>
    <row r="1600" spans="1:5" ht="14.25" customHeight="1">
      <c r="A1600" s="140">
        <v>42900</v>
      </c>
      <c r="B1600">
        <v>31155.91</v>
      </c>
      <c r="C1600">
        <v>289.8</v>
      </c>
      <c r="D1600">
        <v>1.6800000000000001E-3</v>
      </c>
      <c r="E1600">
        <v>-4.4799999999999996E-3</v>
      </c>
    </row>
    <row r="1601" spans="1:5" ht="14.25" customHeight="1">
      <c r="A1601" s="140">
        <v>42901</v>
      </c>
      <c r="B1601">
        <v>31075.73</v>
      </c>
      <c r="C1601">
        <v>288.5</v>
      </c>
      <c r="D1601">
        <v>-2.5799999999999998E-3</v>
      </c>
      <c r="E1601">
        <v>-4.4999999999999997E-3</v>
      </c>
    </row>
    <row r="1602" spans="1:5" ht="14.25" customHeight="1">
      <c r="A1602" s="140">
        <v>42902</v>
      </c>
      <c r="B1602">
        <v>31056.400000000001</v>
      </c>
      <c r="C1602">
        <v>289</v>
      </c>
      <c r="D1602">
        <v>-6.2E-4</v>
      </c>
      <c r="E1602">
        <v>1.73E-3</v>
      </c>
    </row>
    <row r="1603" spans="1:5" ht="14.25" customHeight="1">
      <c r="A1603" s="140">
        <v>42905</v>
      </c>
      <c r="B1603">
        <v>31311.57</v>
      </c>
      <c r="C1603">
        <v>287.5</v>
      </c>
      <c r="D1603">
        <v>8.1799999999999998E-3</v>
      </c>
      <c r="E1603">
        <v>-5.1999999999999998E-3</v>
      </c>
    </row>
    <row r="1604" spans="1:5" ht="14.25" customHeight="1">
      <c r="A1604" s="140">
        <v>42906</v>
      </c>
      <c r="B1604">
        <v>31297.53</v>
      </c>
      <c r="C1604">
        <v>286.89999999999998</v>
      </c>
      <c r="D1604">
        <v>-4.4999999999999999E-4</v>
      </c>
      <c r="E1604">
        <v>-2.0899999999999998E-3</v>
      </c>
    </row>
    <row r="1605" spans="1:5" ht="14.25" customHeight="1">
      <c r="A1605" s="140">
        <v>42907</v>
      </c>
      <c r="B1605">
        <v>31283.64</v>
      </c>
      <c r="C1605">
        <v>287.7</v>
      </c>
      <c r="D1605">
        <v>-4.4000000000000002E-4</v>
      </c>
      <c r="E1605">
        <v>2.7799999999999999E-3</v>
      </c>
    </row>
    <row r="1606" spans="1:5" ht="14.25" customHeight="1">
      <c r="A1606" s="140">
        <v>42908</v>
      </c>
      <c r="B1606">
        <v>31290.74</v>
      </c>
      <c r="C1606">
        <v>289.89999999999998</v>
      </c>
      <c r="D1606">
        <v>2.3000000000000001E-4</v>
      </c>
      <c r="E1606">
        <v>7.62E-3</v>
      </c>
    </row>
    <row r="1607" spans="1:5" ht="14.25" customHeight="1">
      <c r="A1607" s="140">
        <v>42909</v>
      </c>
      <c r="B1607">
        <v>31138.21</v>
      </c>
      <c r="C1607">
        <v>288.8</v>
      </c>
      <c r="D1607">
        <v>-4.8900000000000002E-3</v>
      </c>
      <c r="E1607">
        <v>-3.8E-3</v>
      </c>
    </row>
    <row r="1608" spans="1:5" ht="14.25" customHeight="1">
      <c r="A1608" s="140">
        <v>42913</v>
      </c>
      <c r="B1608">
        <v>30958.25</v>
      </c>
      <c r="C1608">
        <v>290</v>
      </c>
      <c r="D1608">
        <v>-5.7999999999999996E-3</v>
      </c>
      <c r="E1608">
        <v>4.15E-3</v>
      </c>
    </row>
    <row r="1609" spans="1:5" ht="14.25" customHeight="1">
      <c r="A1609" s="140">
        <v>42914</v>
      </c>
      <c r="B1609">
        <v>30834.32</v>
      </c>
      <c r="C1609">
        <v>289.95</v>
      </c>
      <c r="D1609">
        <v>-4.0099999999999997E-3</v>
      </c>
      <c r="E1609">
        <v>-1.7000000000000001E-4</v>
      </c>
    </row>
    <row r="1610" spans="1:5" ht="14.25" customHeight="1">
      <c r="A1610" s="140">
        <v>42915</v>
      </c>
      <c r="B1610">
        <v>30857.52</v>
      </c>
      <c r="C1610">
        <v>290.3</v>
      </c>
      <c r="D1610">
        <v>7.5000000000000002E-4</v>
      </c>
      <c r="E1610">
        <v>1.2099999999999999E-3</v>
      </c>
    </row>
    <row r="1611" spans="1:5" ht="14.25" customHeight="1">
      <c r="A1611" s="140">
        <v>42916</v>
      </c>
      <c r="B1611">
        <v>30921.61</v>
      </c>
      <c r="C1611">
        <v>292.14999999999998</v>
      </c>
      <c r="D1611">
        <v>2.0699999999999998E-3</v>
      </c>
      <c r="E1611">
        <v>6.3499999999999997E-3</v>
      </c>
    </row>
    <row r="1612" spans="1:5" ht="14.25" customHeight="1">
      <c r="A1612" s="140">
        <v>42919</v>
      </c>
      <c r="B1612">
        <v>31221.62</v>
      </c>
      <c r="C1612">
        <v>294.60000000000002</v>
      </c>
      <c r="D1612">
        <v>9.6600000000000002E-3</v>
      </c>
      <c r="E1612">
        <v>8.3499999999999998E-3</v>
      </c>
    </row>
    <row r="1613" spans="1:5" ht="14.25" customHeight="1">
      <c r="A1613" s="140">
        <v>42920</v>
      </c>
      <c r="B1613">
        <v>31209.79</v>
      </c>
      <c r="C1613">
        <v>295.14999999999998</v>
      </c>
      <c r="D1613">
        <v>-3.8000000000000002E-4</v>
      </c>
      <c r="E1613">
        <v>1.8699999999999999E-3</v>
      </c>
    </row>
    <row r="1614" spans="1:5" ht="14.25" customHeight="1">
      <c r="A1614" s="140">
        <v>42921</v>
      </c>
      <c r="B1614">
        <v>31245.56</v>
      </c>
      <c r="C1614">
        <v>297.75</v>
      </c>
      <c r="D1614">
        <v>1.15E-3</v>
      </c>
      <c r="E1614">
        <v>8.77E-3</v>
      </c>
    </row>
    <row r="1615" spans="1:5" ht="14.25" customHeight="1">
      <c r="A1615" s="140">
        <v>42922</v>
      </c>
      <c r="B1615">
        <v>31369.34</v>
      </c>
      <c r="C1615">
        <v>299.89999999999998</v>
      </c>
      <c r="D1615">
        <v>3.9500000000000004E-3</v>
      </c>
      <c r="E1615">
        <v>7.1900000000000002E-3</v>
      </c>
    </row>
    <row r="1616" spans="1:5" ht="14.25" customHeight="1">
      <c r="A1616" s="140">
        <v>42923</v>
      </c>
      <c r="B1616">
        <v>31360.63</v>
      </c>
      <c r="C1616">
        <v>302</v>
      </c>
      <c r="D1616">
        <v>-2.7999999999999998E-4</v>
      </c>
      <c r="E1616">
        <v>6.9800000000000001E-3</v>
      </c>
    </row>
    <row r="1617" spans="1:5" ht="14.25" customHeight="1">
      <c r="A1617" s="140">
        <v>42926</v>
      </c>
      <c r="B1617">
        <v>31715.64</v>
      </c>
      <c r="C1617">
        <v>304.10000000000002</v>
      </c>
      <c r="D1617">
        <v>1.1259999999999999E-2</v>
      </c>
      <c r="E1617">
        <v>6.9300000000000004E-3</v>
      </c>
    </row>
    <row r="1618" spans="1:5" ht="14.25" customHeight="1">
      <c r="A1618" s="140">
        <v>42927</v>
      </c>
      <c r="B1618">
        <v>31747.09</v>
      </c>
      <c r="C1618">
        <v>304.25</v>
      </c>
      <c r="D1618">
        <v>9.8999999999999999E-4</v>
      </c>
      <c r="E1618">
        <v>4.8999999999999998E-4</v>
      </c>
    </row>
    <row r="1619" spans="1:5" ht="14.25" customHeight="1">
      <c r="A1619" s="140">
        <v>42928</v>
      </c>
      <c r="B1619">
        <v>31804.82</v>
      </c>
      <c r="C1619">
        <v>304.39999999999998</v>
      </c>
      <c r="D1619">
        <v>1.82E-3</v>
      </c>
      <c r="E1619">
        <v>4.8999999999999998E-4</v>
      </c>
    </row>
    <row r="1620" spans="1:5" ht="14.25" customHeight="1">
      <c r="A1620" s="140">
        <v>42929</v>
      </c>
      <c r="B1620">
        <v>32037.38</v>
      </c>
      <c r="C1620">
        <v>302.10000000000002</v>
      </c>
      <c r="D1620">
        <v>7.2899999999999996E-3</v>
      </c>
      <c r="E1620">
        <v>-7.5799999999999999E-3</v>
      </c>
    </row>
    <row r="1621" spans="1:5" ht="14.25" customHeight="1">
      <c r="A1621" s="140">
        <v>42930</v>
      </c>
      <c r="B1621">
        <v>32020.75</v>
      </c>
      <c r="C1621">
        <v>303.95</v>
      </c>
      <c r="D1621">
        <v>-5.1999999999999995E-4</v>
      </c>
      <c r="E1621">
        <v>6.11E-3</v>
      </c>
    </row>
    <row r="1622" spans="1:5" ht="14.25" customHeight="1">
      <c r="A1622" s="140">
        <v>42933</v>
      </c>
      <c r="B1622">
        <v>32074.78</v>
      </c>
      <c r="C1622">
        <v>302.60000000000002</v>
      </c>
      <c r="D1622">
        <v>1.6900000000000001E-3</v>
      </c>
      <c r="E1622">
        <v>-4.45E-3</v>
      </c>
    </row>
    <row r="1623" spans="1:5" ht="14.25" customHeight="1">
      <c r="A1623" s="140">
        <v>42934</v>
      </c>
      <c r="B1623">
        <v>31710.99</v>
      </c>
      <c r="C1623">
        <v>300.7</v>
      </c>
      <c r="D1623">
        <v>-1.141E-2</v>
      </c>
      <c r="E1623">
        <v>-6.3E-3</v>
      </c>
    </row>
    <row r="1624" spans="1:5" ht="14.25" customHeight="1">
      <c r="A1624" s="140">
        <v>42935</v>
      </c>
      <c r="B1624">
        <v>31955.35</v>
      </c>
      <c r="C1624">
        <v>306.75</v>
      </c>
      <c r="D1624">
        <v>7.6800000000000002E-3</v>
      </c>
      <c r="E1624">
        <v>1.992E-2</v>
      </c>
    </row>
    <row r="1625" spans="1:5" ht="14.25" customHeight="1">
      <c r="A1625" s="140">
        <v>42936</v>
      </c>
      <c r="B1625">
        <v>31904.400000000001</v>
      </c>
      <c r="C1625">
        <v>301.75</v>
      </c>
      <c r="D1625">
        <v>-1.6000000000000001E-3</v>
      </c>
      <c r="E1625">
        <v>-1.643E-2</v>
      </c>
    </row>
    <row r="1626" spans="1:5" ht="14.25" customHeight="1">
      <c r="A1626" s="140">
        <v>42937</v>
      </c>
      <c r="B1626">
        <v>32028.89</v>
      </c>
      <c r="C1626">
        <v>302.7</v>
      </c>
      <c r="D1626">
        <v>3.8899999999999998E-3</v>
      </c>
      <c r="E1626">
        <v>3.14E-3</v>
      </c>
    </row>
    <row r="1627" spans="1:5" ht="14.25" customHeight="1">
      <c r="A1627" s="140">
        <v>42940</v>
      </c>
      <c r="B1627">
        <v>32245.87</v>
      </c>
      <c r="C1627">
        <v>305.8</v>
      </c>
      <c r="D1627">
        <v>6.7499999999999999E-3</v>
      </c>
      <c r="E1627">
        <v>1.0189999999999999E-2</v>
      </c>
    </row>
    <row r="1628" spans="1:5" ht="14.25" customHeight="1">
      <c r="A1628" s="140">
        <v>42941</v>
      </c>
      <c r="B1628">
        <v>32228.27</v>
      </c>
      <c r="C1628">
        <v>306.89999999999998</v>
      </c>
      <c r="D1628">
        <v>-5.5000000000000003E-4</v>
      </c>
      <c r="E1628">
        <v>3.5899999999999999E-3</v>
      </c>
    </row>
    <row r="1629" spans="1:5" ht="14.25" customHeight="1">
      <c r="A1629" s="140">
        <v>42942</v>
      </c>
      <c r="B1629">
        <v>32382.46</v>
      </c>
      <c r="C1629">
        <v>306.10000000000002</v>
      </c>
      <c r="D1629">
        <v>4.7699999999999999E-3</v>
      </c>
      <c r="E1629">
        <v>-2.6099999999999999E-3</v>
      </c>
    </row>
    <row r="1630" spans="1:5" ht="14.25" customHeight="1">
      <c r="A1630" s="140">
        <v>42943</v>
      </c>
      <c r="B1630">
        <v>32383.3</v>
      </c>
      <c r="C1630">
        <v>310.8</v>
      </c>
      <c r="D1630">
        <v>3.0000000000000001E-5</v>
      </c>
      <c r="E1630">
        <v>1.524E-2</v>
      </c>
    </row>
    <row r="1631" spans="1:5" ht="14.25" customHeight="1">
      <c r="A1631" s="140">
        <v>42944</v>
      </c>
      <c r="B1631">
        <v>32309.88</v>
      </c>
      <c r="C1631">
        <v>310</v>
      </c>
      <c r="D1631">
        <v>-2.2699999999999999E-3</v>
      </c>
      <c r="E1631">
        <v>-2.5799999999999998E-3</v>
      </c>
    </row>
    <row r="1632" spans="1:5" ht="14.25" customHeight="1">
      <c r="A1632" s="140">
        <v>42947</v>
      </c>
      <c r="B1632">
        <v>32514.94</v>
      </c>
      <c r="C1632">
        <v>310.10000000000002</v>
      </c>
      <c r="D1632">
        <v>6.3299999999999997E-3</v>
      </c>
      <c r="E1632">
        <v>3.2000000000000003E-4</v>
      </c>
    </row>
    <row r="1633" spans="1:5" ht="14.25" customHeight="1">
      <c r="A1633" s="140">
        <v>42948</v>
      </c>
      <c r="B1633">
        <v>32575.17</v>
      </c>
      <c r="C1633">
        <v>301.89999999999998</v>
      </c>
      <c r="D1633">
        <v>1.8500000000000001E-3</v>
      </c>
      <c r="E1633">
        <v>-2.6800000000000001E-2</v>
      </c>
    </row>
    <row r="1634" spans="1:5" ht="14.25" customHeight="1">
      <c r="A1634" s="140">
        <v>42949</v>
      </c>
      <c r="B1634">
        <v>32476.74</v>
      </c>
      <c r="C1634">
        <v>300.45</v>
      </c>
      <c r="D1634">
        <v>-3.0300000000000001E-3</v>
      </c>
      <c r="E1634">
        <v>-4.81E-3</v>
      </c>
    </row>
    <row r="1635" spans="1:5" ht="14.25" customHeight="1">
      <c r="A1635" s="140">
        <v>42950</v>
      </c>
      <c r="B1635">
        <v>32237.88</v>
      </c>
      <c r="C1635">
        <v>305.64999999999998</v>
      </c>
      <c r="D1635">
        <v>-7.3800000000000003E-3</v>
      </c>
      <c r="E1635">
        <v>1.7160000000000002E-2</v>
      </c>
    </row>
    <row r="1636" spans="1:5" ht="14.25" customHeight="1">
      <c r="A1636" s="140">
        <v>42951</v>
      </c>
      <c r="B1636">
        <v>32325.41</v>
      </c>
      <c r="C1636">
        <v>307.60000000000002</v>
      </c>
      <c r="D1636">
        <v>2.7100000000000002E-3</v>
      </c>
      <c r="E1636">
        <v>6.3600000000000002E-3</v>
      </c>
    </row>
    <row r="1637" spans="1:5" ht="14.25" customHeight="1">
      <c r="A1637" s="140">
        <v>42954</v>
      </c>
      <c r="B1637">
        <v>32273.67</v>
      </c>
      <c r="C1637">
        <v>319.45</v>
      </c>
      <c r="D1637">
        <v>-1.6000000000000001E-3</v>
      </c>
      <c r="E1637">
        <v>3.78E-2</v>
      </c>
    </row>
    <row r="1638" spans="1:5" ht="14.25" customHeight="1">
      <c r="A1638" s="140">
        <v>42955</v>
      </c>
      <c r="B1638">
        <v>32014.19</v>
      </c>
      <c r="C1638">
        <v>314.8</v>
      </c>
      <c r="D1638">
        <v>-8.0700000000000008E-3</v>
      </c>
      <c r="E1638">
        <v>-1.4659999999999999E-2</v>
      </c>
    </row>
    <row r="1639" spans="1:5" ht="14.25" customHeight="1">
      <c r="A1639" s="140">
        <v>42956</v>
      </c>
      <c r="B1639">
        <v>31797.84</v>
      </c>
      <c r="C1639">
        <v>310.35000000000002</v>
      </c>
      <c r="D1639">
        <v>-6.7799999999999996E-3</v>
      </c>
      <c r="E1639">
        <v>-1.4239999999999999E-2</v>
      </c>
    </row>
    <row r="1640" spans="1:5" ht="14.25" customHeight="1">
      <c r="A1640" s="140">
        <v>42957</v>
      </c>
      <c r="B1640">
        <v>31531.33</v>
      </c>
      <c r="C1640">
        <v>305.95</v>
      </c>
      <c r="D1640">
        <v>-8.4200000000000004E-3</v>
      </c>
      <c r="E1640">
        <v>-1.4279999999999999E-2</v>
      </c>
    </row>
    <row r="1641" spans="1:5" ht="14.25" customHeight="1">
      <c r="A1641" s="140">
        <v>42958</v>
      </c>
      <c r="B1641">
        <v>31213.59</v>
      </c>
      <c r="C1641">
        <v>302.7</v>
      </c>
      <c r="D1641">
        <v>-1.013E-2</v>
      </c>
      <c r="E1641">
        <v>-1.068E-2</v>
      </c>
    </row>
    <row r="1642" spans="1:5" ht="14.25" customHeight="1">
      <c r="A1642" s="140">
        <v>42961</v>
      </c>
      <c r="B1642">
        <v>31449.03</v>
      </c>
      <c r="C1642">
        <v>307.25</v>
      </c>
      <c r="D1642">
        <v>7.5100000000000002E-3</v>
      </c>
      <c r="E1642">
        <v>1.4919999999999999E-2</v>
      </c>
    </row>
    <row r="1643" spans="1:5" ht="14.25" customHeight="1">
      <c r="A1643" s="140">
        <v>42963</v>
      </c>
      <c r="B1643">
        <v>31770.89</v>
      </c>
      <c r="C1643">
        <v>309.45</v>
      </c>
      <c r="D1643">
        <v>1.018E-2</v>
      </c>
      <c r="E1643">
        <v>7.1300000000000001E-3</v>
      </c>
    </row>
    <row r="1644" spans="1:5" ht="14.25" customHeight="1">
      <c r="A1644" s="140">
        <v>42964</v>
      </c>
      <c r="B1644">
        <v>31795.46</v>
      </c>
      <c r="C1644">
        <v>308.10000000000002</v>
      </c>
      <c r="D1644">
        <v>7.6999999999999996E-4</v>
      </c>
      <c r="E1644">
        <v>-4.3699999999999998E-3</v>
      </c>
    </row>
    <row r="1645" spans="1:5" ht="14.25" customHeight="1">
      <c r="A1645" s="140">
        <v>42965</v>
      </c>
      <c r="B1645">
        <v>31524.68</v>
      </c>
      <c r="C1645">
        <v>311.05</v>
      </c>
      <c r="D1645">
        <v>-8.5500000000000003E-3</v>
      </c>
      <c r="E1645">
        <v>9.5300000000000003E-3</v>
      </c>
    </row>
    <row r="1646" spans="1:5" ht="14.25" customHeight="1">
      <c r="A1646" s="140">
        <v>42968</v>
      </c>
      <c r="B1646">
        <v>31258.85</v>
      </c>
      <c r="C1646">
        <v>304.05</v>
      </c>
      <c r="D1646">
        <v>-8.4700000000000001E-3</v>
      </c>
      <c r="E1646">
        <v>-2.2759999999999999E-2</v>
      </c>
    </row>
    <row r="1647" spans="1:5" ht="14.25" customHeight="1">
      <c r="A1647" s="140">
        <v>42969</v>
      </c>
      <c r="B1647">
        <v>31291.85</v>
      </c>
      <c r="C1647">
        <v>300.95</v>
      </c>
      <c r="D1647">
        <v>1.06E-3</v>
      </c>
      <c r="E1647">
        <v>-1.025E-2</v>
      </c>
    </row>
    <row r="1648" spans="1:5" ht="14.25" customHeight="1">
      <c r="A1648" s="140">
        <v>42970</v>
      </c>
      <c r="B1648">
        <v>31568.01</v>
      </c>
      <c r="C1648">
        <v>298.5</v>
      </c>
      <c r="D1648">
        <v>8.7899999999999992E-3</v>
      </c>
      <c r="E1648">
        <v>-8.1700000000000002E-3</v>
      </c>
    </row>
    <row r="1649" spans="1:5" ht="14.25" customHeight="1">
      <c r="A1649" s="140">
        <v>42971</v>
      </c>
      <c r="B1649">
        <v>31596.06</v>
      </c>
      <c r="C1649">
        <v>299.85000000000002</v>
      </c>
      <c r="D1649">
        <v>8.8999999999999995E-4</v>
      </c>
      <c r="E1649">
        <v>4.5100000000000001E-3</v>
      </c>
    </row>
    <row r="1650" spans="1:5" ht="14.25" customHeight="1">
      <c r="A1650" s="140">
        <v>42975</v>
      </c>
      <c r="B1650">
        <v>31750.82</v>
      </c>
      <c r="C1650">
        <v>312.7</v>
      </c>
      <c r="D1650">
        <v>4.8900000000000002E-3</v>
      </c>
      <c r="E1650">
        <v>4.1959999999999997E-2</v>
      </c>
    </row>
    <row r="1651" spans="1:5" ht="14.25" customHeight="1">
      <c r="A1651" s="140">
        <v>42976</v>
      </c>
      <c r="B1651">
        <v>31388.39</v>
      </c>
      <c r="C1651">
        <v>309.55</v>
      </c>
      <c r="D1651">
        <v>-1.1480000000000001E-2</v>
      </c>
      <c r="E1651">
        <v>-1.0120000000000001E-2</v>
      </c>
    </row>
    <row r="1652" spans="1:5" ht="14.25" customHeight="1">
      <c r="A1652" s="140">
        <v>42977</v>
      </c>
      <c r="B1652">
        <v>31646.46</v>
      </c>
      <c r="C1652">
        <v>314.7</v>
      </c>
      <c r="D1652">
        <v>8.1899999999999994E-3</v>
      </c>
      <c r="E1652">
        <v>1.6500000000000001E-2</v>
      </c>
    </row>
    <row r="1653" spans="1:5" ht="14.25" customHeight="1">
      <c r="A1653" s="140">
        <v>42978</v>
      </c>
      <c r="B1653">
        <v>31730.49</v>
      </c>
      <c r="C1653">
        <v>315.10000000000002</v>
      </c>
      <c r="D1653">
        <v>2.65E-3</v>
      </c>
      <c r="E1653">
        <v>1.2700000000000001E-3</v>
      </c>
    </row>
    <row r="1654" spans="1:5" ht="14.25" customHeight="1">
      <c r="A1654" s="140">
        <v>42979</v>
      </c>
      <c r="B1654">
        <v>31892.23</v>
      </c>
      <c r="C1654">
        <v>313.39999999999998</v>
      </c>
      <c r="D1654">
        <v>5.0800000000000003E-3</v>
      </c>
      <c r="E1654">
        <v>-5.4099999999999999E-3</v>
      </c>
    </row>
    <row r="1655" spans="1:5" ht="14.25" customHeight="1">
      <c r="A1655" s="140">
        <v>42982</v>
      </c>
      <c r="B1655">
        <v>31702.25</v>
      </c>
      <c r="C1655">
        <v>310</v>
      </c>
      <c r="D1655">
        <v>-5.9699999999999996E-3</v>
      </c>
      <c r="E1655">
        <v>-1.091E-2</v>
      </c>
    </row>
    <row r="1656" spans="1:5" ht="14.25" customHeight="1">
      <c r="A1656" s="140">
        <v>42983</v>
      </c>
      <c r="B1656">
        <v>31809.55</v>
      </c>
      <c r="C1656">
        <v>312.85000000000002</v>
      </c>
      <c r="D1656">
        <v>3.3800000000000002E-3</v>
      </c>
      <c r="E1656">
        <v>9.1500000000000001E-3</v>
      </c>
    </row>
    <row r="1657" spans="1:5" ht="14.25" customHeight="1">
      <c r="A1657" s="140">
        <v>42984</v>
      </c>
      <c r="B1657">
        <v>31661.97</v>
      </c>
      <c r="C1657">
        <v>309.2</v>
      </c>
      <c r="D1657">
        <v>-4.6499999999999996E-3</v>
      </c>
      <c r="E1657">
        <v>-1.174E-2</v>
      </c>
    </row>
    <row r="1658" spans="1:5" ht="14.25" customHeight="1">
      <c r="A1658" s="140">
        <v>42985</v>
      </c>
      <c r="B1658">
        <v>31662.74</v>
      </c>
      <c r="C1658">
        <v>309.5</v>
      </c>
      <c r="D1658">
        <v>2.0000000000000002E-5</v>
      </c>
      <c r="E1658">
        <v>9.7000000000000005E-4</v>
      </c>
    </row>
    <row r="1659" spans="1:5" ht="14.25" customHeight="1">
      <c r="A1659" s="140">
        <v>42986</v>
      </c>
      <c r="B1659">
        <v>31687.52</v>
      </c>
      <c r="C1659">
        <v>307.14999999999998</v>
      </c>
      <c r="D1659">
        <v>7.7999999999999999E-4</v>
      </c>
      <c r="E1659">
        <v>-7.62E-3</v>
      </c>
    </row>
    <row r="1660" spans="1:5" ht="14.25" customHeight="1">
      <c r="A1660" s="140">
        <v>42989</v>
      </c>
      <c r="B1660">
        <v>31882.16</v>
      </c>
      <c r="C1660">
        <v>309.95</v>
      </c>
      <c r="D1660">
        <v>6.1199999999999996E-3</v>
      </c>
      <c r="E1660">
        <v>9.0699999999999999E-3</v>
      </c>
    </row>
    <row r="1661" spans="1:5" ht="14.25" customHeight="1">
      <c r="A1661" s="140">
        <v>42990</v>
      </c>
      <c r="B1661">
        <v>32158.66</v>
      </c>
      <c r="C1661">
        <v>306.14999999999998</v>
      </c>
      <c r="D1661">
        <v>8.6400000000000001E-3</v>
      </c>
      <c r="E1661">
        <v>-1.234E-2</v>
      </c>
    </row>
    <row r="1662" spans="1:5" ht="14.25" customHeight="1">
      <c r="A1662" s="140">
        <v>42991</v>
      </c>
      <c r="B1662">
        <v>32186.41</v>
      </c>
      <c r="C1662">
        <v>308</v>
      </c>
      <c r="D1662">
        <v>8.5999999999999998E-4</v>
      </c>
      <c r="E1662">
        <v>6.0200000000000002E-3</v>
      </c>
    </row>
    <row r="1663" spans="1:5" ht="14.25" customHeight="1">
      <c r="A1663" s="140">
        <v>42992</v>
      </c>
      <c r="B1663">
        <v>32241.93</v>
      </c>
      <c r="C1663">
        <v>307.8</v>
      </c>
      <c r="D1663">
        <v>1.72E-3</v>
      </c>
      <c r="E1663">
        <v>-6.4999999999999997E-4</v>
      </c>
    </row>
    <row r="1664" spans="1:5" ht="14.25" customHeight="1">
      <c r="A1664" s="140">
        <v>42993</v>
      </c>
      <c r="B1664">
        <v>32272.61</v>
      </c>
      <c r="C1664">
        <v>309.35000000000002</v>
      </c>
      <c r="D1664">
        <v>9.5E-4</v>
      </c>
      <c r="E1664">
        <v>5.0200000000000002E-3</v>
      </c>
    </row>
    <row r="1665" spans="1:5" ht="14.25" customHeight="1">
      <c r="A1665" s="140">
        <v>42996</v>
      </c>
      <c r="B1665">
        <v>32423.759999999998</v>
      </c>
      <c r="C1665">
        <v>308.55</v>
      </c>
      <c r="D1665">
        <v>4.6699999999999997E-3</v>
      </c>
      <c r="E1665">
        <v>-2.5899999999999999E-3</v>
      </c>
    </row>
    <row r="1666" spans="1:5" ht="14.25" customHeight="1">
      <c r="A1666" s="140">
        <v>42997</v>
      </c>
      <c r="B1666">
        <v>32402.37</v>
      </c>
      <c r="C1666">
        <v>314.60000000000002</v>
      </c>
      <c r="D1666">
        <v>-6.6E-4</v>
      </c>
      <c r="E1666">
        <v>1.942E-2</v>
      </c>
    </row>
    <row r="1667" spans="1:5" ht="14.25" customHeight="1">
      <c r="A1667" s="140">
        <v>42998</v>
      </c>
      <c r="B1667">
        <v>32400.51</v>
      </c>
      <c r="C1667">
        <v>314.64999999999998</v>
      </c>
      <c r="D1667">
        <v>-6.0000000000000002E-5</v>
      </c>
      <c r="E1667">
        <v>1.6000000000000001E-4</v>
      </c>
    </row>
    <row r="1668" spans="1:5" ht="14.25" customHeight="1">
      <c r="A1668" s="140">
        <v>42999</v>
      </c>
      <c r="B1668">
        <v>32370.04</v>
      </c>
      <c r="C1668">
        <v>310.39999999999998</v>
      </c>
      <c r="D1668">
        <v>-9.3999999999999997E-4</v>
      </c>
      <c r="E1668">
        <v>-1.3599999999999999E-2</v>
      </c>
    </row>
    <row r="1669" spans="1:5" ht="14.25" customHeight="1">
      <c r="A1669" s="140">
        <v>43000</v>
      </c>
      <c r="B1669">
        <v>31922.44</v>
      </c>
      <c r="C1669">
        <v>304.8</v>
      </c>
      <c r="D1669">
        <v>-1.392E-2</v>
      </c>
      <c r="E1669">
        <v>-1.821E-2</v>
      </c>
    </row>
    <row r="1670" spans="1:5" ht="14.25" customHeight="1">
      <c r="A1670" s="140">
        <v>43003</v>
      </c>
      <c r="B1670">
        <v>31626.63</v>
      </c>
      <c r="C1670">
        <v>312.55</v>
      </c>
      <c r="D1670">
        <v>-9.3100000000000006E-3</v>
      </c>
      <c r="E1670">
        <v>2.511E-2</v>
      </c>
    </row>
    <row r="1671" spans="1:5" ht="14.25" customHeight="1">
      <c r="A1671" s="140">
        <v>43004</v>
      </c>
      <c r="B1671">
        <v>31599.759999999998</v>
      </c>
      <c r="C1671">
        <v>308.10000000000002</v>
      </c>
      <c r="D1671">
        <v>-8.4999999999999995E-4</v>
      </c>
      <c r="E1671">
        <v>-1.434E-2</v>
      </c>
    </row>
    <row r="1672" spans="1:5" ht="14.25" customHeight="1">
      <c r="A1672" s="140">
        <v>43005</v>
      </c>
      <c r="B1672">
        <v>31159.81</v>
      </c>
      <c r="C1672">
        <v>305.60000000000002</v>
      </c>
      <c r="D1672">
        <v>-1.4019999999999999E-2</v>
      </c>
      <c r="E1672">
        <v>-8.1499999999999993E-3</v>
      </c>
    </row>
    <row r="1673" spans="1:5" ht="14.25" customHeight="1">
      <c r="A1673" s="140">
        <v>43006</v>
      </c>
      <c r="B1673">
        <v>31282.48</v>
      </c>
      <c r="C1673">
        <v>311.25</v>
      </c>
      <c r="D1673">
        <v>3.9300000000000003E-3</v>
      </c>
      <c r="E1673">
        <v>1.8319999999999999E-2</v>
      </c>
    </row>
    <row r="1674" spans="1:5" ht="14.25" customHeight="1">
      <c r="A1674" s="140">
        <v>43007</v>
      </c>
      <c r="B1674">
        <v>31283.72</v>
      </c>
      <c r="C1674">
        <v>305.05</v>
      </c>
      <c r="D1674">
        <v>4.0000000000000003E-5</v>
      </c>
      <c r="E1674">
        <v>-2.0119999999999999E-2</v>
      </c>
    </row>
    <row r="1675" spans="1:5" ht="14.25" customHeight="1">
      <c r="A1675" s="140">
        <v>43011</v>
      </c>
      <c r="B1675">
        <v>31497.38</v>
      </c>
      <c r="C1675">
        <v>311.64999999999998</v>
      </c>
      <c r="D1675">
        <v>6.8100000000000001E-3</v>
      </c>
      <c r="E1675">
        <v>2.1409999999999998E-2</v>
      </c>
    </row>
    <row r="1676" spans="1:5" ht="14.25" customHeight="1">
      <c r="A1676" s="140">
        <v>43012</v>
      </c>
      <c r="B1676">
        <v>31671.71</v>
      </c>
      <c r="C1676">
        <v>315.45</v>
      </c>
      <c r="D1676">
        <v>5.5199999999999997E-3</v>
      </c>
      <c r="E1676">
        <v>1.2120000000000001E-2</v>
      </c>
    </row>
    <row r="1677" spans="1:5" ht="14.25" customHeight="1">
      <c r="A1677" s="140">
        <v>43013</v>
      </c>
      <c r="B1677">
        <v>31592.03</v>
      </c>
      <c r="C1677">
        <v>316.7</v>
      </c>
      <c r="D1677">
        <v>-2.5200000000000001E-3</v>
      </c>
      <c r="E1677">
        <v>3.9500000000000004E-3</v>
      </c>
    </row>
    <row r="1678" spans="1:5" ht="14.25" customHeight="1">
      <c r="A1678" s="140">
        <v>43014</v>
      </c>
      <c r="B1678">
        <v>31814.22</v>
      </c>
      <c r="C1678">
        <v>316</v>
      </c>
      <c r="D1678">
        <v>7.0099999999999997E-3</v>
      </c>
      <c r="E1678">
        <v>-2.2100000000000002E-3</v>
      </c>
    </row>
    <row r="1679" spans="1:5" ht="14.25" customHeight="1">
      <c r="A1679" s="140">
        <v>43017</v>
      </c>
      <c r="B1679">
        <v>31846.89</v>
      </c>
      <c r="C1679">
        <v>316.64999999999998</v>
      </c>
      <c r="D1679">
        <v>1.0300000000000001E-3</v>
      </c>
      <c r="E1679">
        <v>2.0500000000000002E-3</v>
      </c>
    </row>
    <row r="1680" spans="1:5" ht="14.25" customHeight="1">
      <c r="A1680" s="140">
        <v>43018</v>
      </c>
      <c r="B1680">
        <v>31924.41</v>
      </c>
      <c r="C1680">
        <v>316.39999999999998</v>
      </c>
      <c r="D1680">
        <v>2.4299999999999999E-3</v>
      </c>
      <c r="E1680">
        <v>-7.9000000000000001E-4</v>
      </c>
    </row>
    <row r="1681" spans="1:5" ht="14.25" customHeight="1">
      <c r="A1681" s="140">
        <v>43019</v>
      </c>
      <c r="B1681">
        <v>31833.99</v>
      </c>
      <c r="C1681">
        <v>317.75</v>
      </c>
      <c r="D1681">
        <v>-2.8400000000000001E-3</v>
      </c>
      <c r="E1681">
        <v>4.2599999999999999E-3</v>
      </c>
    </row>
    <row r="1682" spans="1:5" ht="14.25" customHeight="1">
      <c r="A1682" s="140">
        <v>43020</v>
      </c>
      <c r="B1682">
        <v>32182.22</v>
      </c>
      <c r="C1682">
        <v>325.25</v>
      </c>
      <c r="D1682">
        <v>1.0880000000000001E-2</v>
      </c>
      <c r="E1682">
        <v>2.333E-2</v>
      </c>
    </row>
    <row r="1683" spans="1:5" ht="14.25" customHeight="1">
      <c r="A1683" s="140">
        <v>43021</v>
      </c>
      <c r="B1683">
        <v>32432.69</v>
      </c>
      <c r="C1683">
        <v>321.8</v>
      </c>
      <c r="D1683">
        <v>7.7499999999999999E-3</v>
      </c>
      <c r="E1683">
        <v>-1.0659999999999999E-2</v>
      </c>
    </row>
    <row r="1684" spans="1:5" ht="14.25" customHeight="1">
      <c r="A1684" s="140">
        <v>43024</v>
      </c>
      <c r="B1684">
        <v>32633.64</v>
      </c>
      <c r="C1684">
        <v>322.14999999999998</v>
      </c>
      <c r="D1684">
        <v>6.1799999999999997E-3</v>
      </c>
      <c r="E1684">
        <v>1.09E-3</v>
      </c>
    </row>
    <row r="1685" spans="1:5" ht="14.25" customHeight="1">
      <c r="A1685" s="140">
        <v>43025</v>
      </c>
      <c r="B1685">
        <v>32609.16</v>
      </c>
      <c r="C1685">
        <v>319.8</v>
      </c>
      <c r="D1685">
        <v>-7.5000000000000002E-4</v>
      </c>
      <c r="E1685">
        <v>-7.3200000000000001E-3</v>
      </c>
    </row>
    <row r="1686" spans="1:5" ht="14.25" customHeight="1">
      <c r="A1686" s="140">
        <v>43026</v>
      </c>
      <c r="B1686">
        <v>32584.35</v>
      </c>
      <c r="C1686">
        <v>318.55</v>
      </c>
      <c r="D1686">
        <v>-7.6000000000000004E-4</v>
      </c>
      <c r="E1686">
        <v>-3.9199999999999999E-3</v>
      </c>
    </row>
    <row r="1687" spans="1:5" ht="14.25" customHeight="1">
      <c r="A1687" s="140">
        <v>43027</v>
      </c>
      <c r="B1687">
        <v>32389.96</v>
      </c>
      <c r="C1687">
        <v>317.95</v>
      </c>
      <c r="D1687">
        <v>-5.9800000000000001E-3</v>
      </c>
      <c r="E1687">
        <v>-1.89E-3</v>
      </c>
    </row>
    <row r="1688" spans="1:5" ht="14.25" customHeight="1">
      <c r="A1688" s="140">
        <v>43031</v>
      </c>
      <c r="B1688">
        <v>32506.720000000001</v>
      </c>
      <c r="C1688">
        <v>317</v>
      </c>
      <c r="D1688">
        <v>3.5999999999999999E-3</v>
      </c>
      <c r="E1688">
        <v>-2.99E-3</v>
      </c>
    </row>
    <row r="1689" spans="1:5" ht="14.25" customHeight="1">
      <c r="A1689" s="140">
        <v>43032</v>
      </c>
      <c r="B1689">
        <v>32607.34</v>
      </c>
      <c r="C1689">
        <v>318.45</v>
      </c>
      <c r="D1689">
        <v>3.0899999999999999E-3</v>
      </c>
      <c r="E1689">
        <v>4.5599999999999998E-3</v>
      </c>
    </row>
    <row r="1690" spans="1:5" ht="14.25" customHeight="1">
      <c r="A1690" s="140">
        <v>43033</v>
      </c>
      <c r="B1690">
        <v>33042.5</v>
      </c>
      <c r="C1690">
        <v>322.60000000000002</v>
      </c>
      <c r="D1690">
        <v>1.3259999999999999E-2</v>
      </c>
      <c r="E1690">
        <v>1.295E-2</v>
      </c>
    </row>
    <row r="1691" spans="1:5" ht="14.25" customHeight="1">
      <c r="A1691" s="140">
        <v>43034</v>
      </c>
      <c r="B1691">
        <v>33147.129999999997</v>
      </c>
      <c r="C1691">
        <v>321.85000000000002</v>
      </c>
      <c r="D1691">
        <v>3.16E-3</v>
      </c>
      <c r="E1691">
        <v>-2.33E-3</v>
      </c>
    </row>
    <row r="1692" spans="1:5" ht="14.25" customHeight="1">
      <c r="A1692" s="140">
        <v>43035</v>
      </c>
      <c r="B1692">
        <v>33157.22</v>
      </c>
      <c r="C1692">
        <v>322.45</v>
      </c>
      <c r="D1692">
        <v>2.9999999999999997E-4</v>
      </c>
      <c r="E1692">
        <v>1.8600000000000001E-3</v>
      </c>
    </row>
    <row r="1693" spans="1:5" ht="14.25" customHeight="1">
      <c r="A1693" s="140">
        <v>43038</v>
      </c>
      <c r="B1693">
        <v>33266.160000000003</v>
      </c>
      <c r="C1693">
        <v>321.45</v>
      </c>
      <c r="D1693">
        <v>3.2799999999999999E-3</v>
      </c>
      <c r="E1693">
        <v>-3.1099999999999999E-3</v>
      </c>
    </row>
    <row r="1694" spans="1:5" ht="14.25" customHeight="1">
      <c r="A1694" s="140">
        <v>43039</v>
      </c>
      <c r="B1694">
        <v>33213.129999999997</v>
      </c>
      <c r="C1694">
        <v>333.1</v>
      </c>
      <c r="D1694">
        <v>-1.6000000000000001E-3</v>
      </c>
      <c r="E1694">
        <v>3.56E-2</v>
      </c>
    </row>
    <row r="1695" spans="1:5" ht="14.25" customHeight="1">
      <c r="A1695" s="140">
        <v>43040</v>
      </c>
      <c r="B1695">
        <v>33600.269999999997</v>
      </c>
      <c r="C1695">
        <v>348.1</v>
      </c>
      <c r="D1695">
        <v>1.159E-2</v>
      </c>
      <c r="E1695">
        <v>4.4049999999999999E-2</v>
      </c>
    </row>
    <row r="1696" spans="1:5" ht="14.25" customHeight="1">
      <c r="A1696" s="140">
        <v>43041</v>
      </c>
      <c r="B1696">
        <v>33573.22</v>
      </c>
      <c r="C1696">
        <v>342.3</v>
      </c>
      <c r="D1696">
        <v>-8.0999999999999996E-4</v>
      </c>
      <c r="E1696">
        <v>-1.6799999999999999E-2</v>
      </c>
    </row>
    <row r="1697" spans="1:5" ht="14.25" customHeight="1">
      <c r="A1697" s="140">
        <v>43042</v>
      </c>
      <c r="B1697">
        <v>33685.56</v>
      </c>
      <c r="C1697">
        <v>340</v>
      </c>
      <c r="D1697">
        <v>3.3400000000000001E-3</v>
      </c>
      <c r="E1697">
        <v>-6.7400000000000003E-3</v>
      </c>
    </row>
    <row r="1698" spans="1:5" ht="14.25" customHeight="1">
      <c r="A1698" s="140">
        <v>43045</v>
      </c>
      <c r="B1698">
        <v>33731.19</v>
      </c>
      <c r="C1698">
        <v>343</v>
      </c>
      <c r="D1698">
        <v>1.3500000000000001E-3</v>
      </c>
      <c r="E1698">
        <v>8.7799999999999996E-3</v>
      </c>
    </row>
    <row r="1699" spans="1:5" ht="14.25" customHeight="1">
      <c r="A1699" s="140">
        <v>43046</v>
      </c>
      <c r="B1699">
        <v>33370.76</v>
      </c>
      <c r="C1699">
        <v>339.6</v>
      </c>
      <c r="D1699">
        <v>-1.074E-2</v>
      </c>
      <c r="E1699">
        <v>-9.9600000000000001E-3</v>
      </c>
    </row>
    <row r="1700" spans="1:5" ht="14.25" customHeight="1">
      <c r="A1700" s="140">
        <v>43047</v>
      </c>
      <c r="B1700">
        <v>33218.81</v>
      </c>
      <c r="C1700">
        <v>337.1</v>
      </c>
      <c r="D1700">
        <v>-4.5599999999999998E-3</v>
      </c>
      <c r="E1700">
        <v>-7.3899999999999999E-3</v>
      </c>
    </row>
    <row r="1701" spans="1:5" ht="14.25" customHeight="1">
      <c r="A1701" s="140">
        <v>43048</v>
      </c>
      <c r="B1701">
        <v>33250.93</v>
      </c>
      <c r="C1701">
        <v>347.8</v>
      </c>
      <c r="D1701">
        <v>9.7000000000000005E-4</v>
      </c>
      <c r="E1701">
        <v>3.125E-2</v>
      </c>
    </row>
    <row r="1702" spans="1:5" ht="14.25" customHeight="1">
      <c r="A1702" s="140">
        <v>43049</v>
      </c>
      <c r="B1702">
        <v>33314.559999999998</v>
      </c>
      <c r="C1702">
        <v>341.85</v>
      </c>
      <c r="D1702">
        <v>1.91E-3</v>
      </c>
      <c r="E1702">
        <v>-1.7260000000000001E-2</v>
      </c>
    </row>
    <row r="1703" spans="1:5" ht="14.25" customHeight="1">
      <c r="A1703" s="140">
        <v>43052</v>
      </c>
      <c r="B1703">
        <v>33033.56</v>
      </c>
      <c r="C1703">
        <v>337.05</v>
      </c>
      <c r="D1703">
        <v>-8.4700000000000001E-3</v>
      </c>
      <c r="E1703">
        <v>-1.414E-2</v>
      </c>
    </row>
    <row r="1704" spans="1:5" ht="14.25" customHeight="1">
      <c r="A1704" s="140">
        <v>43053</v>
      </c>
      <c r="B1704">
        <v>32941.870000000003</v>
      </c>
      <c r="C1704">
        <v>337.1</v>
      </c>
      <c r="D1704">
        <v>-2.7799999999999999E-3</v>
      </c>
      <c r="E1704">
        <v>1.4999999999999999E-4</v>
      </c>
    </row>
    <row r="1705" spans="1:5" ht="14.25" customHeight="1">
      <c r="A1705" s="140">
        <v>43054</v>
      </c>
      <c r="B1705">
        <v>32760.44</v>
      </c>
      <c r="C1705">
        <v>334.65</v>
      </c>
      <c r="D1705">
        <v>-5.5199999999999997E-3</v>
      </c>
      <c r="E1705">
        <v>-7.2899999999999996E-3</v>
      </c>
    </row>
    <row r="1706" spans="1:5" ht="14.25" customHeight="1">
      <c r="A1706" s="140">
        <v>43055</v>
      </c>
      <c r="B1706">
        <v>33106.82</v>
      </c>
      <c r="C1706">
        <v>339.5</v>
      </c>
      <c r="D1706">
        <v>1.052E-2</v>
      </c>
      <c r="E1706">
        <v>1.439E-2</v>
      </c>
    </row>
    <row r="1707" spans="1:5" ht="14.25" customHeight="1">
      <c r="A1707" s="140">
        <v>43056</v>
      </c>
      <c r="B1707">
        <v>33342.800000000003</v>
      </c>
      <c r="C1707">
        <v>336.65</v>
      </c>
      <c r="D1707">
        <v>7.1000000000000004E-3</v>
      </c>
      <c r="E1707">
        <v>-8.43E-3</v>
      </c>
    </row>
    <row r="1708" spans="1:5" ht="14.25" customHeight="1">
      <c r="A1708" s="140">
        <v>43059</v>
      </c>
      <c r="B1708">
        <v>33359.9</v>
      </c>
      <c r="C1708">
        <v>337.3</v>
      </c>
      <c r="D1708">
        <v>5.1000000000000004E-4</v>
      </c>
      <c r="E1708">
        <v>1.9300000000000001E-3</v>
      </c>
    </row>
    <row r="1709" spans="1:5" ht="14.25" customHeight="1">
      <c r="A1709" s="140">
        <v>43060</v>
      </c>
      <c r="B1709">
        <v>33478.35</v>
      </c>
      <c r="C1709">
        <v>339.4</v>
      </c>
      <c r="D1709">
        <v>3.5400000000000002E-3</v>
      </c>
      <c r="E1709">
        <v>6.2100000000000002E-3</v>
      </c>
    </row>
    <row r="1710" spans="1:5" ht="14.25" customHeight="1">
      <c r="A1710" s="140">
        <v>43061</v>
      </c>
      <c r="B1710">
        <v>33561.550000000003</v>
      </c>
      <c r="C1710">
        <v>337.9</v>
      </c>
      <c r="D1710">
        <v>2.48E-3</v>
      </c>
      <c r="E1710">
        <v>-4.4299999999999999E-3</v>
      </c>
    </row>
    <row r="1711" spans="1:5" ht="14.25" customHeight="1">
      <c r="A1711" s="140">
        <v>43062</v>
      </c>
      <c r="B1711">
        <v>33588.080000000002</v>
      </c>
      <c r="C1711">
        <v>339.9</v>
      </c>
      <c r="D1711">
        <v>7.9000000000000001E-4</v>
      </c>
      <c r="E1711">
        <v>5.8999999999999999E-3</v>
      </c>
    </row>
    <row r="1712" spans="1:5" ht="14.25" customHeight="1">
      <c r="A1712" s="140">
        <v>43063</v>
      </c>
      <c r="B1712">
        <v>33679.24</v>
      </c>
      <c r="C1712">
        <v>343.85</v>
      </c>
      <c r="D1712">
        <v>2.7100000000000002E-3</v>
      </c>
      <c r="E1712">
        <v>1.155E-2</v>
      </c>
    </row>
    <row r="1713" spans="1:5" ht="14.25" customHeight="1">
      <c r="A1713" s="140">
        <v>43066</v>
      </c>
      <c r="B1713">
        <v>33724.44</v>
      </c>
      <c r="C1713">
        <v>341.6</v>
      </c>
      <c r="D1713">
        <v>1.34E-3</v>
      </c>
      <c r="E1713">
        <v>-6.5700000000000003E-3</v>
      </c>
    </row>
    <row r="1714" spans="1:5" ht="14.25" customHeight="1">
      <c r="A1714" s="140">
        <v>43067</v>
      </c>
      <c r="B1714">
        <v>33618.589999999997</v>
      </c>
      <c r="C1714">
        <v>343.7</v>
      </c>
      <c r="D1714">
        <v>-3.14E-3</v>
      </c>
      <c r="E1714">
        <v>6.13E-3</v>
      </c>
    </row>
    <row r="1715" spans="1:5" ht="14.25" customHeight="1">
      <c r="A1715" s="140">
        <v>43068</v>
      </c>
      <c r="B1715">
        <v>33602.76</v>
      </c>
      <c r="C1715">
        <v>339.4</v>
      </c>
      <c r="D1715">
        <v>-4.6999999999999999E-4</v>
      </c>
      <c r="E1715">
        <v>-1.259E-2</v>
      </c>
    </row>
    <row r="1716" spans="1:5" ht="14.25" customHeight="1">
      <c r="A1716" s="140">
        <v>43069</v>
      </c>
      <c r="B1716">
        <v>33149.35</v>
      </c>
      <c r="C1716">
        <v>346.8</v>
      </c>
      <c r="D1716">
        <v>-1.359E-2</v>
      </c>
      <c r="E1716">
        <v>2.1569999999999999E-2</v>
      </c>
    </row>
    <row r="1717" spans="1:5" ht="14.25" customHeight="1">
      <c r="A1717" s="140">
        <v>43070</v>
      </c>
      <c r="B1717">
        <v>32832.94</v>
      </c>
      <c r="C1717">
        <v>341.3</v>
      </c>
      <c r="D1717">
        <v>-9.5899999999999996E-3</v>
      </c>
      <c r="E1717">
        <v>-1.5990000000000001E-2</v>
      </c>
    </row>
    <row r="1718" spans="1:5" ht="14.25" customHeight="1">
      <c r="A1718" s="140">
        <v>43073</v>
      </c>
      <c r="B1718">
        <v>32869.72</v>
      </c>
      <c r="C1718">
        <v>338.7</v>
      </c>
      <c r="D1718">
        <v>1.1199999999999999E-3</v>
      </c>
      <c r="E1718">
        <v>-7.6499999999999997E-3</v>
      </c>
    </row>
    <row r="1719" spans="1:5" ht="14.25" customHeight="1">
      <c r="A1719" s="140">
        <v>43074</v>
      </c>
      <c r="B1719">
        <v>32802.44</v>
      </c>
      <c r="C1719">
        <v>343.15</v>
      </c>
      <c r="D1719">
        <v>-2.0500000000000002E-3</v>
      </c>
      <c r="E1719">
        <v>1.3050000000000001E-2</v>
      </c>
    </row>
    <row r="1720" spans="1:5" ht="14.25" customHeight="1">
      <c r="A1720" s="140">
        <v>43075</v>
      </c>
      <c r="B1720">
        <v>32597.18</v>
      </c>
      <c r="C1720">
        <v>341.4</v>
      </c>
      <c r="D1720">
        <v>-6.28E-3</v>
      </c>
      <c r="E1720">
        <v>-5.11E-3</v>
      </c>
    </row>
    <row r="1721" spans="1:5" ht="14.25" customHeight="1">
      <c r="A1721" s="140">
        <v>43076</v>
      </c>
      <c r="B1721">
        <v>32949.21</v>
      </c>
      <c r="C1721">
        <v>345.1</v>
      </c>
      <c r="D1721">
        <v>1.074E-2</v>
      </c>
      <c r="E1721">
        <v>1.078E-2</v>
      </c>
    </row>
    <row r="1722" spans="1:5" ht="14.25" customHeight="1">
      <c r="A1722" s="140">
        <v>43077</v>
      </c>
      <c r="B1722">
        <v>33250.300000000003</v>
      </c>
      <c r="C1722">
        <v>350.2</v>
      </c>
      <c r="D1722">
        <v>9.1000000000000004E-3</v>
      </c>
      <c r="E1722">
        <v>1.4670000000000001E-2</v>
      </c>
    </row>
    <row r="1723" spans="1:5" ht="14.25" customHeight="1">
      <c r="A1723" s="140">
        <v>43080</v>
      </c>
      <c r="B1723">
        <v>33455.79</v>
      </c>
      <c r="C1723">
        <v>349</v>
      </c>
      <c r="D1723">
        <v>6.1599999999999997E-3</v>
      </c>
      <c r="E1723">
        <v>-3.4299999999999999E-3</v>
      </c>
    </row>
    <row r="1724" spans="1:5" ht="14.25" customHeight="1">
      <c r="A1724" s="140">
        <v>43081</v>
      </c>
      <c r="B1724">
        <v>33227.99</v>
      </c>
      <c r="C1724">
        <v>347.9</v>
      </c>
      <c r="D1724">
        <v>-6.8300000000000001E-3</v>
      </c>
      <c r="E1724">
        <v>-3.16E-3</v>
      </c>
    </row>
    <row r="1725" spans="1:5" ht="14.25" customHeight="1">
      <c r="A1725" s="140">
        <v>43082</v>
      </c>
      <c r="B1725">
        <v>33053.040000000001</v>
      </c>
      <c r="C1725">
        <v>344.7</v>
      </c>
      <c r="D1725">
        <v>-5.28E-3</v>
      </c>
      <c r="E1725">
        <v>-9.2399999999999999E-3</v>
      </c>
    </row>
    <row r="1726" spans="1:5" ht="14.25" customHeight="1">
      <c r="A1726" s="140">
        <v>43083</v>
      </c>
      <c r="B1726">
        <v>33246.699999999997</v>
      </c>
      <c r="C1726">
        <v>345.35</v>
      </c>
      <c r="D1726">
        <v>5.8399999999999997E-3</v>
      </c>
      <c r="E1726">
        <v>1.8799999999999999E-3</v>
      </c>
    </row>
    <row r="1727" spans="1:5" ht="14.25" customHeight="1">
      <c r="A1727" s="140">
        <v>43084</v>
      </c>
      <c r="B1727">
        <v>33462.97</v>
      </c>
      <c r="C1727">
        <v>342.75</v>
      </c>
      <c r="D1727">
        <v>6.4799999999999996E-3</v>
      </c>
      <c r="E1727">
        <v>-7.5599999999999999E-3</v>
      </c>
    </row>
    <row r="1728" spans="1:5" ht="14.25" customHeight="1">
      <c r="A1728" s="140">
        <v>43087</v>
      </c>
      <c r="B1728">
        <v>33601.68</v>
      </c>
      <c r="C1728">
        <v>346.95</v>
      </c>
      <c r="D1728">
        <v>4.1399999999999996E-3</v>
      </c>
      <c r="E1728">
        <v>1.218E-2</v>
      </c>
    </row>
    <row r="1729" spans="1:5" ht="14.25" customHeight="1">
      <c r="A1729" s="140">
        <v>43088</v>
      </c>
      <c r="B1729">
        <v>33836.74</v>
      </c>
      <c r="C1729">
        <v>349.9</v>
      </c>
      <c r="D1729">
        <v>6.9699999999999996E-3</v>
      </c>
      <c r="E1729">
        <v>8.4700000000000001E-3</v>
      </c>
    </row>
    <row r="1730" spans="1:5" ht="14.25" customHeight="1">
      <c r="A1730" s="140">
        <v>43089</v>
      </c>
      <c r="B1730">
        <v>33777.379999999997</v>
      </c>
      <c r="C1730">
        <v>351.85</v>
      </c>
      <c r="D1730">
        <v>-1.7600000000000001E-3</v>
      </c>
      <c r="E1730">
        <v>5.5599999999999998E-3</v>
      </c>
    </row>
    <row r="1731" spans="1:5" ht="14.25" customHeight="1">
      <c r="A1731" s="140">
        <v>43090</v>
      </c>
      <c r="B1731">
        <v>33756.28</v>
      </c>
      <c r="C1731">
        <v>350</v>
      </c>
      <c r="D1731">
        <v>-6.2E-4</v>
      </c>
      <c r="E1731">
        <v>-5.2700000000000004E-3</v>
      </c>
    </row>
    <row r="1732" spans="1:5" ht="14.25" customHeight="1">
      <c r="A1732" s="140">
        <v>43091</v>
      </c>
      <c r="B1732">
        <v>33940.300000000003</v>
      </c>
      <c r="C1732">
        <v>353.75</v>
      </c>
      <c r="D1732">
        <v>5.4400000000000004E-3</v>
      </c>
      <c r="E1732">
        <v>1.0659999999999999E-2</v>
      </c>
    </row>
    <row r="1733" spans="1:5" ht="14.25" customHeight="1">
      <c r="A1733" s="140">
        <v>43095</v>
      </c>
      <c r="B1733">
        <v>34010.61</v>
      </c>
      <c r="C1733">
        <v>353.15</v>
      </c>
      <c r="D1733">
        <v>2.0699999999999998E-3</v>
      </c>
      <c r="E1733">
        <v>-1.6999999999999999E-3</v>
      </c>
    </row>
    <row r="1734" spans="1:5" ht="14.25" customHeight="1">
      <c r="A1734" s="140">
        <v>43096</v>
      </c>
      <c r="B1734">
        <v>33911.81</v>
      </c>
      <c r="C1734">
        <v>351.55</v>
      </c>
      <c r="D1734">
        <v>-2.9099999999999998E-3</v>
      </c>
      <c r="E1734">
        <v>-4.5399999999999998E-3</v>
      </c>
    </row>
    <row r="1735" spans="1:5" ht="14.25" customHeight="1">
      <c r="A1735" s="140">
        <v>43097</v>
      </c>
      <c r="B1735">
        <v>33848.03</v>
      </c>
      <c r="C1735">
        <v>346.1</v>
      </c>
      <c r="D1735">
        <v>-1.8799999999999999E-3</v>
      </c>
      <c r="E1735">
        <v>-1.562E-2</v>
      </c>
    </row>
    <row r="1736" spans="1:5" ht="14.25" customHeight="1">
      <c r="A1736" s="140">
        <v>43098</v>
      </c>
      <c r="B1736">
        <v>34056.83</v>
      </c>
      <c r="C1736">
        <v>348.6</v>
      </c>
      <c r="D1736">
        <v>6.1500000000000001E-3</v>
      </c>
      <c r="E1736">
        <v>7.1999999999999998E-3</v>
      </c>
    </row>
    <row r="1737" spans="1:5" ht="14.25" customHeight="1">
      <c r="A1737" s="140">
        <v>43101</v>
      </c>
      <c r="B1737">
        <v>33812.75</v>
      </c>
      <c r="C1737">
        <v>349.5</v>
      </c>
      <c r="D1737">
        <v>-7.1900000000000002E-3</v>
      </c>
      <c r="E1737">
        <v>2.5799999999999998E-3</v>
      </c>
    </row>
    <row r="1738" spans="1:5" ht="14.25" customHeight="1">
      <c r="A1738" s="140">
        <v>43102</v>
      </c>
      <c r="B1738">
        <v>33812.26</v>
      </c>
      <c r="C1738">
        <v>349.5</v>
      </c>
      <c r="D1738">
        <v>-1.0000000000000001E-5</v>
      </c>
      <c r="E1738">
        <v>0</v>
      </c>
    </row>
    <row r="1739" spans="1:5" ht="14.25" customHeight="1">
      <c r="A1739" s="140">
        <v>43103</v>
      </c>
      <c r="B1739">
        <v>33793.379999999997</v>
      </c>
      <c r="C1739">
        <v>354.1</v>
      </c>
      <c r="D1739">
        <v>-5.5999999999999995E-4</v>
      </c>
      <c r="E1739">
        <v>1.308E-2</v>
      </c>
    </row>
    <row r="1740" spans="1:5" ht="14.25" customHeight="1">
      <c r="A1740" s="140">
        <v>43104</v>
      </c>
      <c r="B1740">
        <v>33969.64</v>
      </c>
      <c r="C1740">
        <v>355.4</v>
      </c>
      <c r="D1740">
        <v>5.1999999999999998E-3</v>
      </c>
      <c r="E1740">
        <v>3.6600000000000001E-3</v>
      </c>
    </row>
    <row r="1741" spans="1:5" ht="14.25" customHeight="1">
      <c r="A1741" s="140">
        <v>43105</v>
      </c>
      <c r="B1741">
        <v>34153.85</v>
      </c>
      <c r="C1741">
        <v>357.5</v>
      </c>
      <c r="D1741">
        <v>5.4099999999999999E-3</v>
      </c>
      <c r="E1741">
        <v>5.8900000000000003E-3</v>
      </c>
    </row>
    <row r="1742" spans="1:5" ht="14.25" customHeight="1">
      <c r="A1742" s="140">
        <v>43108</v>
      </c>
      <c r="B1742">
        <v>34352.79</v>
      </c>
      <c r="C1742">
        <v>360.75</v>
      </c>
      <c r="D1742">
        <v>5.8100000000000001E-3</v>
      </c>
      <c r="E1742">
        <v>9.0500000000000008E-3</v>
      </c>
    </row>
    <row r="1743" spans="1:5" ht="14.25" customHeight="1">
      <c r="A1743" s="140">
        <v>43109</v>
      </c>
      <c r="B1743">
        <v>34443.19</v>
      </c>
      <c r="C1743">
        <v>358.5</v>
      </c>
      <c r="D1743">
        <v>2.63E-3</v>
      </c>
      <c r="E1743">
        <v>-6.2599999999999999E-3</v>
      </c>
    </row>
    <row r="1744" spans="1:5" ht="14.25" customHeight="1">
      <c r="A1744" s="140">
        <v>43110</v>
      </c>
      <c r="B1744">
        <v>34433.07</v>
      </c>
      <c r="C1744">
        <v>357.8</v>
      </c>
      <c r="D1744">
        <v>-2.9E-4</v>
      </c>
      <c r="E1744">
        <v>-1.9499999999999999E-3</v>
      </c>
    </row>
    <row r="1745" spans="1:5" ht="14.25" customHeight="1">
      <c r="A1745" s="140">
        <v>43111</v>
      </c>
      <c r="B1745">
        <v>34503.49</v>
      </c>
      <c r="C1745">
        <v>360.05</v>
      </c>
      <c r="D1745">
        <v>2.0400000000000001E-3</v>
      </c>
      <c r="E1745">
        <v>6.2700000000000004E-3</v>
      </c>
    </row>
    <row r="1746" spans="1:5" ht="14.25" customHeight="1">
      <c r="A1746" s="140">
        <v>43112</v>
      </c>
      <c r="B1746">
        <v>34592.39</v>
      </c>
      <c r="C1746">
        <v>358</v>
      </c>
      <c r="D1746">
        <v>2.5699999999999998E-3</v>
      </c>
      <c r="E1746">
        <v>-5.7099999999999998E-3</v>
      </c>
    </row>
    <row r="1747" spans="1:5" ht="14.25" customHeight="1">
      <c r="A1747" s="140">
        <v>43115</v>
      </c>
      <c r="B1747">
        <v>34843.51</v>
      </c>
      <c r="C1747">
        <v>361.55</v>
      </c>
      <c r="D1747">
        <v>7.2300000000000003E-3</v>
      </c>
      <c r="E1747">
        <v>9.8700000000000003E-3</v>
      </c>
    </row>
    <row r="1748" spans="1:5" ht="14.25" customHeight="1">
      <c r="A1748" s="140">
        <v>43116</v>
      </c>
      <c r="B1748">
        <v>34771.050000000003</v>
      </c>
      <c r="C1748">
        <v>357.45</v>
      </c>
      <c r="D1748">
        <v>-2.0799999999999998E-3</v>
      </c>
      <c r="E1748">
        <v>-1.14E-2</v>
      </c>
    </row>
    <row r="1749" spans="1:5" ht="14.25" customHeight="1">
      <c r="A1749" s="140">
        <v>43117</v>
      </c>
      <c r="B1749">
        <v>35081.82</v>
      </c>
      <c r="C1749">
        <v>358.8</v>
      </c>
      <c r="D1749">
        <v>8.8999999999999999E-3</v>
      </c>
      <c r="E1749">
        <v>3.7699999999999999E-3</v>
      </c>
    </row>
    <row r="1750" spans="1:5" ht="14.25" customHeight="1">
      <c r="A1750" s="140">
        <v>43118</v>
      </c>
      <c r="B1750">
        <v>35260.29</v>
      </c>
      <c r="C1750">
        <v>363.55</v>
      </c>
      <c r="D1750">
        <v>5.0699999999999999E-3</v>
      </c>
      <c r="E1750">
        <v>1.315E-2</v>
      </c>
    </row>
    <row r="1751" spans="1:5" ht="14.25" customHeight="1">
      <c r="A1751" s="140">
        <v>43119</v>
      </c>
      <c r="B1751">
        <v>35511.58</v>
      </c>
      <c r="C1751">
        <v>363.7</v>
      </c>
      <c r="D1751">
        <v>7.1000000000000004E-3</v>
      </c>
      <c r="E1751">
        <v>4.0999999999999999E-4</v>
      </c>
    </row>
    <row r="1752" spans="1:5" ht="14.25" customHeight="1">
      <c r="A1752" s="140">
        <v>43122</v>
      </c>
      <c r="B1752">
        <v>35798.01</v>
      </c>
      <c r="C1752">
        <v>363.15</v>
      </c>
      <c r="D1752">
        <v>8.0300000000000007E-3</v>
      </c>
      <c r="E1752">
        <v>-1.5100000000000001E-3</v>
      </c>
    </row>
    <row r="1753" spans="1:5" ht="14.25" customHeight="1">
      <c r="A1753" s="140">
        <v>43123</v>
      </c>
      <c r="B1753">
        <v>36139.980000000003</v>
      </c>
      <c r="C1753">
        <v>364.95</v>
      </c>
      <c r="D1753">
        <v>9.5099999999999994E-3</v>
      </c>
      <c r="E1753">
        <v>4.9399999999999999E-3</v>
      </c>
    </row>
    <row r="1754" spans="1:5" ht="14.25" customHeight="1">
      <c r="A1754" s="140">
        <v>43124</v>
      </c>
      <c r="B1754">
        <v>36161.64</v>
      </c>
      <c r="C1754">
        <v>360.1</v>
      </c>
      <c r="D1754">
        <v>5.9999999999999995E-4</v>
      </c>
      <c r="E1754">
        <v>-1.338E-2</v>
      </c>
    </row>
    <row r="1755" spans="1:5" ht="14.25" customHeight="1">
      <c r="A1755" s="140">
        <v>43125</v>
      </c>
      <c r="B1755">
        <v>36050.44</v>
      </c>
      <c r="C1755">
        <v>353.9</v>
      </c>
      <c r="D1755">
        <v>-3.0799999999999998E-3</v>
      </c>
      <c r="E1755">
        <v>-1.737E-2</v>
      </c>
    </row>
    <row r="1756" spans="1:5" ht="14.25" customHeight="1">
      <c r="A1756" s="140">
        <v>43129</v>
      </c>
      <c r="B1756">
        <v>36283.25</v>
      </c>
      <c r="C1756">
        <v>358</v>
      </c>
      <c r="D1756">
        <v>6.4400000000000004E-3</v>
      </c>
      <c r="E1756">
        <v>1.1520000000000001E-2</v>
      </c>
    </row>
    <row r="1757" spans="1:5" ht="14.25" customHeight="1">
      <c r="A1757" s="140">
        <v>43130</v>
      </c>
      <c r="B1757">
        <v>36033.730000000003</v>
      </c>
      <c r="C1757">
        <v>358.55</v>
      </c>
      <c r="D1757">
        <v>-6.8999999999999999E-3</v>
      </c>
      <c r="E1757">
        <v>1.5399999999999999E-3</v>
      </c>
    </row>
    <row r="1758" spans="1:5" ht="14.25" customHeight="1">
      <c r="A1758" s="140">
        <v>43131</v>
      </c>
      <c r="B1758">
        <v>35965.019999999997</v>
      </c>
      <c r="C1758">
        <v>354.35</v>
      </c>
      <c r="D1758">
        <v>-1.91E-3</v>
      </c>
      <c r="E1758">
        <v>-1.1780000000000001E-2</v>
      </c>
    </row>
    <row r="1759" spans="1:5" ht="14.25" customHeight="1">
      <c r="A1759" s="140">
        <v>43132</v>
      </c>
      <c r="B1759">
        <v>35906.660000000003</v>
      </c>
      <c r="C1759">
        <v>349.7</v>
      </c>
      <c r="D1759">
        <v>-1.6199999999999999E-3</v>
      </c>
      <c r="E1759">
        <v>-1.321E-2</v>
      </c>
    </row>
    <row r="1760" spans="1:5" ht="14.25" customHeight="1">
      <c r="A1760" s="140">
        <v>43133</v>
      </c>
      <c r="B1760">
        <v>35066.75</v>
      </c>
      <c r="C1760">
        <v>344.4</v>
      </c>
      <c r="D1760">
        <v>-2.367E-2</v>
      </c>
      <c r="E1760">
        <v>-1.5270000000000001E-2</v>
      </c>
    </row>
    <row r="1761" spans="1:5" ht="14.25" customHeight="1">
      <c r="A1761" s="140">
        <v>43136</v>
      </c>
      <c r="B1761">
        <v>34757.160000000003</v>
      </c>
      <c r="C1761">
        <v>338.5</v>
      </c>
      <c r="D1761">
        <v>-8.8699999999999994E-3</v>
      </c>
      <c r="E1761">
        <v>-1.728E-2</v>
      </c>
    </row>
    <row r="1762" spans="1:5" ht="14.25" customHeight="1">
      <c r="A1762" s="140">
        <v>43137</v>
      </c>
      <c r="B1762">
        <v>34195.94</v>
      </c>
      <c r="C1762">
        <v>338.45</v>
      </c>
      <c r="D1762">
        <v>-1.6279999999999999E-2</v>
      </c>
      <c r="E1762">
        <v>-1.4999999999999999E-4</v>
      </c>
    </row>
    <row r="1763" spans="1:5" ht="14.25" customHeight="1">
      <c r="A1763" s="140">
        <v>43138</v>
      </c>
      <c r="B1763">
        <v>34082.71</v>
      </c>
      <c r="C1763">
        <v>338.75</v>
      </c>
      <c r="D1763">
        <v>-3.32E-3</v>
      </c>
      <c r="E1763">
        <v>8.8999999999999995E-4</v>
      </c>
    </row>
    <row r="1764" spans="1:5" ht="14.25" customHeight="1">
      <c r="A1764" s="140">
        <v>43139</v>
      </c>
      <c r="B1764">
        <v>34413.160000000003</v>
      </c>
      <c r="C1764">
        <v>339.45</v>
      </c>
      <c r="D1764">
        <v>9.6500000000000006E-3</v>
      </c>
      <c r="E1764">
        <v>2.0600000000000002E-3</v>
      </c>
    </row>
    <row r="1765" spans="1:5" ht="14.25" customHeight="1">
      <c r="A1765" s="140">
        <v>43140</v>
      </c>
      <c r="B1765">
        <v>34005.760000000002</v>
      </c>
      <c r="C1765">
        <v>339.9</v>
      </c>
      <c r="D1765">
        <v>-1.191E-2</v>
      </c>
      <c r="E1765">
        <v>1.32E-3</v>
      </c>
    </row>
    <row r="1766" spans="1:5" ht="14.25" customHeight="1">
      <c r="A1766" s="140">
        <v>43143</v>
      </c>
      <c r="B1766">
        <v>34300.47</v>
      </c>
      <c r="C1766">
        <v>344.8</v>
      </c>
      <c r="D1766">
        <v>8.6300000000000005E-3</v>
      </c>
      <c r="E1766">
        <v>1.431E-2</v>
      </c>
    </row>
    <row r="1767" spans="1:5" ht="14.25" customHeight="1">
      <c r="A1767" s="140">
        <v>43145</v>
      </c>
      <c r="B1767">
        <v>34155.949999999997</v>
      </c>
      <c r="C1767">
        <v>340.7</v>
      </c>
      <c r="D1767">
        <v>-4.2199999999999998E-3</v>
      </c>
      <c r="E1767">
        <v>-1.196E-2</v>
      </c>
    </row>
    <row r="1768" spans="1:5" ht="14.25" customHeight="1">
      <c r="A1768" s="140">
        <v>43146</v>
      </c>
      <c r="B1768">
        <v>34297.47</v>
      </c>
      <c r="C1768">
        <v>339.55</v>
      </c>
      <c r="D1768">
        <v>4.13E-3</v>
      </c>
      <c r="E1768">
        <v>-3.3800000000000002E-3</v>
      </c>
    </row>
    <row r="1769" spans="1:5" ht="14.25" customHeight="1">
      <c r="A1769" s="140">
        <v>43147</v>
      </c>
      <c r="B1769">
        <v>34010.76</v>
      </c>
      <c r="C1769">
        <v>342.05</v>
      </c>
      <c r="D1769">
        <v>-8.3899999999999999E-3</v>
      </c>
      <c r="E1769">
        <v>7.3400000000000002E-3</v>
      </c>
    </row>
    <row r="1770" spans="1:5" ht="14.25" customHeight="1">
      <c r="A1770" s="140">
        <v>43150</v>
      </c>
      <c r="B1770">
        <v>33774.660000000003</v>
      </c>
      <c r="C1770">
        <v>339.65</v>
      </c>
      <c r="D1770">
        <v>-6.9699999999999996E-3</v>
      </c>
      <c r="E1770">
        <v>-7.0400000000000003E-3</v>
      </c>
    </row>
    <row r="1771" spans="1:5" ht="14.25" customHeight="1">
      <c r="A1771" s="140">
        <v>43151</v>
      </c>
      <c r="B1771">
        <v>33703.589999999997</v>
      </c>
      <c r="C1771">
        <v>340.65</v>
      </c>
      <c r="D1771">
        <v>-2.1099999999999999E-3</v>
      </c>
      <c r="E1771">
        <v>2.9399999999999999E-3</v>
      </c>
    </row>
    <row r="1772" spans="1:5" ht="14.25" customHeight="1">
      <c r="A1772" s="140">
        <v>43152</v>
      </c>
      <c r="B1772">
        <v>33844.86</v>
      </c>
      <c r="C1772">
        <v>334.2</v>
      </c>
      <c r="D1772">
        <v>4.1799999999999997E-3</v>
      </c>
      <c r="E1772">
        <v>-1.9120000000000002E-2</v>
      </c>
    </row>
    <row r="1773" spans="1:5" ht="14.25" customHeight="1">
      <c r="A1773" s="140">
        <v>43153</v>
      </c>
      <c r="B1773">
        <v>33819.5</v>
      </c>
      <c r="C1773">
        <v>327</v>
      </c>
      <c r="D1773">
        <v>-7.5000000000000002E-4</v>
      </c>
      <c r="E1773">
        <v>-2.1780000000000001E-2</v>
      </c>
    </row>
    <row r="1774" spans="1:5" ht="14.25" customHeight="1">
      <c r="A1774" s="140">
        <v>43154</v>
      </c>
      <c r="B1774">
        <v>34142.15</v>
      </c>
      <c r="C1774">
        <v>329.05</v>
      </c>
      <c r="D1774">
        <v>9.4999999999999998E-3</v>
      </c>
      <c r="E1774">
        <v>6.2500000000000003E-3</v>
      </c>
    </row>
    <row r="1775" spans="1:5" ht="14.25" customHeight="1">
      <c r="A1775" s="140">
        <v>43157</v>
      </c>
      <c r="B1775">
        <v>34445.75</v>
      </c>
      <c r="C1775">
        <v>331.55</v>
      </c>
      <c r="D1775">
        <v>8.8500000000000002E-3</v>
      </c>
      <c r="E1775">
        <v>7.5700000000000003E-3</v>
      </c>
    </row>
    <row r="1776" spans="1:5" ht="14.25" customHeight="1">
      <c r="A1776" s="140">
        <v>43158</v>
      </c>
      <c r="B1776">
        <v>34346.39</v>
      </c>
      <c r="C1776">
        <v>328.5</v>
      </c>
      <c r="D1776">
        <v>-2.8900000000000002E-3</v>
      </c>
      <c r="E1776">
        <v>-9.2399999999999999E-3</v>
      </c>
    </row>
    <row r="1777" spans="1:5" ht="14.25" customHeight="1">
      <c r="A1777" s="140">
        <v>43159</v>
      </c>
      <c r="B1777">
        <v>34184.04</v>
      </c>
      <c r="C1777">
        <v>325.05</v>
      </c>
      <c r="D1777">
        <v>-4.7400000000000003E-3</v>
      </c>
      <c r="E1777">
        <v>-1.056E-2</v>
      </c>
    </row>
    <row r="1778" spans="1:5" ht="14.25" customHeight="1">
      <c r="A1778" s="140">
        <v>43160</v>
      </c>
      <c r="B1778">
        <v>34046.94</v>
      </c>
      <c r="C1778">
        <v>325.25</v>
      </c>
      <c r="D1778">
        <v>-4.0200000000000001E-3</v>
      </c>
      <c r="E1778">
        <v>6.2E-4</v>
      </c>
    </row>
    <row r="1779" spans="1:5" ht="14.25" customHeight="1">
      <c r="A1779" s="140">
        <v>43164</v>
      </c>
      <c r="B1779">
        <v>33746.78</v>
      </c>
      <c r="C1779">
        <v>324.85000000000002</v>
      </c>
      <c r="D1779">
        <v>-8.8599999999999998E-3</v>
      </c>
      <c r="E1779">
        <v>-1.23E-3</v>
      </c>
    </row>
    <row r="1780" spans="1:5" ht="14.25" customHeight="1">
      <c r="A1780" s="140">
        <v>43165</v>
      </c>
      <c r="B1780">
        <v>33317.199999999997</v>
      </c>
      <c r="C1780">
        <v>322.35000000000002</v>
      </c>
      <c r="D1780">
        <v>-1.281E-2</v>
      </c>
      <c r="E1780">
        <v>-7.7299999999999999E-3</v>
      </c>
    </row>
    <row r="1781" spans="1:5" ht="14.25" customHeight="1">
      <c r="A1781" s="140">
        <v>43166</v>
      </c>
      <c r="B1781">
        <v>33033.089999999997</v>
      </c>
      <c r="C1781">
        <v>323.3</v>
      </c>
      <c r="D1781">
        <v>-8.5599999999999999E-3</v>
      </c>
      <c r="E1781">
        <v>2.9399999999999999E-3</v>
      </c>
    </row>
    <row r="1782" spans="1:5" ht="14.25" customHeight="1">
      <c r="A1782" s="140">
        <v>43167</v>
      </c>
      <c r="B1782">
        <v>33351.57</v>
      </c>
      <c r="C1782">
        <v>325</v>
      </c>
      <c r="D1782">
        <v>9.5999999999999992E-3</v>
      </c>
      <c r="E1782">
        <v>5.2399999999999999E-3</v>
      </c>
    </row>
    <row r="1783" spans="1:5" ht="14.25" customHeight="1">
      <c r="A1783" s="140">
        <v>43168</v>
      </c>
      <c r="B1783">
        <v>33307.14</v>
      </c>
      <c r="C1783">
        <v>326.8</v>
      </c>
      <c r="D1783">
        <v>-1.33E-3</v>
      </c>
      <c r="E1783">
        <v>5.5199999999999997E-3</v>
      </c>
    </row>
    <row r="1784" spans="1:5" ht="14.25" customHeight="1">
      <c r="A1784" s="140">
        <v>43171</v>
      </c>
      <c r="B1784">
        <v>33917.94</v>
      </c>
      <c r="C1784">
        <v>327.14999999999998</v>
      </c>
      <c r="D1784">
        <v>1.8169999999999999E-2</v>
      </c>
      <c r="E1784">
        <v>1.07E-3</v>
      </c>
    </row>
    <row r="1785" spans="1:5" ht="14.25" customHeight="1">
      <c r="A1785" s="140">
        <v>43172</v>
      </c>
      <c r="B1785">
        <v>33856.78</v>
      </c>
      <c r="C1785">
        <v>325.2</v>
      </c>
      <c r="D1785">
        <v>-1.8E-3</v>
      </c>
      <c r="E1785">
        <v>-5.9800000000000001E-3</v>
      </c>
    </row>
    <row r="1786" spans="1:5" ht="14.25" customHeight="1">
      <c r="A1786" s="140">
        <v>43173</v>
      </c>
      <c r="B1786">
        <v>33835.74</v>
      </c>
      <c r="C1786">
        <v>324.7</v>
      </c>
      <c r="D1786">
        <v>-6.2E-4</v>
      </c>
      <c r="E1786">
        <v>-1.5399999999999999E-3</v>
      </c>
    </row>
    <row r="1787" spans="1:5" ht="14.25" customHeight="1">
      <c r="A1787" s="140">
        <v>43174</v>
      </c>
      <c r="B1787">
        <v>33685.54</v>
      </c>
      <c r="C1787">
        <v>324.89999999999998</v>
      </c>
      <c r="D1787">
        <v>-4.45E-3</v>
      </c>
      <c r="E1787">
        <v>6.2E-4</v>
      </c>
    </row>
    <row r="1788" spans="1:5" ht="14.25" customHeight="1">
      <c r="A1788" s="140">
        <v>43175</v>
      </c>
      <c r="B1788">
        <v>33176</v>
      </c>
      <c r="C1788">
        <v>321.39999999999998</v>
      </c>
      <c r="D1788">
        <v>-1.524E-2</v>
      </c>
      <c r="E1788">
        <v>-1.0829999999999999E-2</v>
      </c>
    </row>
    <row r="1789" spans="1:5" ht="14.25" customHeight="1">
      <c r="A1789" s="140">
        <v>43178</v>
      </c>
      <c r="B1789">
        <v>32923.120000000003</v>
      </c>
      <c r="C1789">
        <v>319.64999999999998</v>
      </c>
      <c r="D1789">
        <v>-7.6499999999999997E-3</v>
      </c>
      <c r="E1789">
        <v>-5.4599999999999996E-3</v>
      </c>
    </row>
    <row r="1790" spans="1:5" ht="14.25" customHeight="1">
      <c r="A1790" s="140">
        <v>43179</v>
      </c>
      <c r="B1790">
        <v>32996.76</v>
      </c>
      <c r="C1790">
        <v>319.2</v>
      </c>
      <c r="D1790">
        <v>2.2300000000000002E-3</v>
      </c>
      <c r="E1790">
        <v>-1.41E-3</v>
      </c>
    </row>
    <row r="1791" spans="1:5" ht="14.25" customHeight="1">
      <c r="A1791" s="140">
        <v>43180</v>
      </c>
      <c r="B1791">
        <v>33136.18</v>
      </c>
      <c r="C1791">
        <v>322.05</v>
      </c>
      <c r="D1791">
        <v>4.2199999999999998E-3</v>
      </c>
      <c r="E1791">
        <v>8.8900000000000003E-3</v>
      </c>
    </row>
    <row r="1792" spans="1:5" ht="14.25" customHeight="1">
      <c r="A1792" s="140">
        <v>43181</v>
      </c>
      <c r="B1792">
        <v>33006.269999999997</v>
      </c>
      <c r="C1792">
        <v>317.7</v>
      </c>
      <c r="D1792">
        <v>-3.9300000000000003E-3</v>
      </c>
      <c r="E1792">
        <v>-1.3599999999999999E-2</v>
      </c>
    </row>
    <row r="1793" spans="1:5" ht="14.25" customHeight="1">
      <c r="A1793" s="140">
        <v>43182</v>
      </c>
      <c r="B1793">
        <v>32596.54</v>
      </c>
      <c r="C1793">
        <v>318.25</v>
      </c>
      <c r="D1793">
        <v>-1.2489999999999999E-2</v>
      </c>
      <c r="E1793">
        <v>1.73E-3</v>
      </c>
    </row>
    <row r="1794" spans="1:5" ht="14.25" customHeight="1">
      <c r="A1794" s="140">
        <v>43185</v>
      </c>
      <c r="B1794">
        <v>33066.410000000003</v>
      </c>
      <c r="C1794">
        <v>315.3</v>
      </c>
      <c r="D1794">
        <v>1.431E-2</v>
      </c>
      <c r="E1794">
        <v>-9.3100000000000006E-3</v>
      </c>
    </row>
    <row r="1795" spans="1:5" ht="14.25" customHeight="1">
      <c r="A1795" s="140">
        <v>43186</v>
      </c>
      <c r="B1795">
        <v>33174.39</v>
      </c>
      <c r="C1795">
        <v>324.60000000000002</v>
      </c>
      <c r="D1795">
        <v>3.2599999999999999E-3</v>
      </c>
      <c r="E1795">
        <v>2.9069999999999999E-2</v>
      </c>
    </row>
    <row r="1796" spans="1:5" ht="14.25" customHeight="1">
      <c r="A1796" s="140">
        <v>43187</v>
      </c>
      <c r="B1796">
        <v>32968.68</v>
      </c>
      <c r="C1796">
        <v>327</v>
      </c>
      <c r="D1796">
        <v>-6.2199999999999998E-3</v>
      </c>
      <c r="E1796">
        <v>7.3699999999999998E-3</v>
      </c>
    </row>
    <row r="1797" spans="1:5" ht="14.25" customHeight="1">
      <c r="A1797" s="140">
        <v>43192</v>
      </c>
      <c r="B1797">
        <v>33255.360000000001</v>
      </c>
      <c r="C1797">
        <v>335.35</v>
      </c>
      <c r="D1797">
        <v>8.6599999999999993E-3</v>
      </c>
      <c r="E1797">
        <v>2.521E-2</v>
      </c>
    </row>
    <row r="1798" spans="1:5" ht="14.25" customHeight="1">
      <c r="A1798" s="140">
        <v>43193</v>
      </c>
      <c r="B1798">
        <v>33370.629999999997</v>
      </c>
      <c r="C1798">
        <v>337.05</v>
      </c>
      <c r="D1798">
        <v>3.46E-3</v>
      </c>
      <c r="E1798">
        <v>5.0600000000000003E-3</v>
      </c>
    </row>
    <row r="1799" spans="1:5" ht="14.25" customHeight="1">
      <c r="A1799" s="140">
        <v>43194</v>
      </c>
      <c r="B1799">
        <v>33019.07</v>
      </c>
      <c r="C1799">
        <v>335.35</v>
      </c>
      <c r="D1799">
        <v>-1.059E-2</v>
      </c>
      <c r="E1799">
        <v>-5.0600000000000003E-3</v>
      </c>
    </row>
    <row r="1800" spans="1:5" ht="14.25" customHeight="1">
      <c r="A1800" s="140">
        <v>43195</v>
      </c>
      <c r="B1800">
        <v>33596.800000000003</v>
      </c>
      <c r="C1800">
        <v>336.6</v>
      </c>
      <c r="D1800">
        <v>1.7350000000000001E-2</v>
      </c>
      <c r="E1800">
        <v>3.7200000000000002E-3</v>
      </c>
    </row>
    <row r="1801" spans="1:5" ht="14.25" customHeight="1">
      <c r="A1801" s="140">
        <v>43196</v>
      </c>
      <c r="B1801">
        <v>33626.97</v>
      </c>
      <c r="C1801">
        <v>342.3</v>
      </c>
      <c r="D1801">
        <v>8.9999999999999998E-4</v>
      </c>
      <c r="E1801">
        <v>1.6789999999999999E-2</v>
      </c>
    </row>
    <row r="1802" spans="1:5" ht="14.25" customHeight="1">
      <c r="A1802" s="140">
        <v>43199</v>
      </c>
      <c r="B1802">
        <v>33788.54</v>
      </c>
      <c r="C1802">
        <v>341.4</v>
      </c>
      <c r="D1802">
        <v>4.79E-3</v>
      </c>
      <c r="E1802">
        <v>-2.63E-3</v>
      </c>
    </row>
    <row r="1803" spans="1:5" ht="14.25" customHeight="1">
      <c r="A1803" s="140">
        <v>43200</v>
      </c>
      <c r="B1803">
        <v>33880.25</v>
      </c>
      <c r="C1803">
        <v>337.1</v>
      </c>
      <c r="D1803">
        <v>2.7100000000000002E-3</v>
      </c>
      <c r="E1803">
        <v>-1.268E-2</v>
      </c>
    </row>
    <row r="1804" spans="1:5" ht="14.25" customHeight="1">
      <c r="A1804" s="140">
        <v>43201</v>
      </c>
      <c r="B1804">
        <v>33940.44</v>
      </c>
      <c r="C1804">
        <v>343.75</v>
      </c>
      <c r="D1804">
        <v>1.7700000000000001E-3</v>
      </c>
      <c r="E1804">
        <v>1.9539999999999998E-2</v>
      </c>
    </row>
    <row r="1805" spans="1:5" ht="14.25" customHeight="1">
      <c r="A1805" s="140">
        <v>43202</v>
      </c>
      <c r="B1805">
        <v>34101.129999999997</v>
      </c>
      <c r="C1805">
        <v>345.4</v>
      </c>
      <c r="D1805">
        <v>4.7200000000000002E-3</v>
      </c>
      <c r="E1805">
        <v>4.79E-3</v>
      </c>
    </row>
    <row r="1806" spans="1:5" ht="14.25" customHeight="1">
      <c r="A1806" s="140">
        <v>43203</v>
      </c>
      <c r="B1806">
        <v>34192.65</v>
      </c>
      <c r="C1806">
        <v>341</v>
      </c>
      <c r="D1806">
        <v>2.6800000000000001E-3</v>
      </c>
      <c r="E1806">
        <v>-1.282E-2</v>
      </c>
    </row>
    <row r="1807" spans="1:5" ht="14.25" customHeight="1">
      <c r="A1807" s="140">
        <v>43206</v>
      </c>
      <c r="B1807">
        <v>34305.43</v>
      </c>
      <c r="C1807">
        <v>343.4</v>
      </c>
      <c r="D1807">
        <v>3.29E-3</v>
      </c>
      <c r="E1807">
        <v>7.0099999999999997E-3</v>
      </c>
    </row>
    <row r="1808" spans="1:5" ht="14.25" customHeight="1">
      <c r="A1808" s="140">
        <v>43207</v>
      </c>
      <c r="B1808">
        <v>34395.06</v>
      </c>
      <c r="C1808">
        <v>343.35</v>
      </c>
      <c r="D1808">
        <v>2.6099999999999999E-3</v>
      </c>
      <c r="E1808">
        <v>-1.4999999999999999E-4</v>
      </c>
    </row>
    <row r="1809" spans="1:5" ht="14.25" customHeight="1">
      <c r="A1809" s="140">
        <v>43208</v>
      </c>
      <c r="B1809">
        <v>34331.68</v>
      </c>
      <c r="C1809">
        <v>355.3</v>
      </c>
      <c r="D1809">
        <v>-1.8400000000000001E-3</v>
      </c>
      <c r="E1809">
        <v>3.4209999999999997E-2</v>
      </c>
    </row>
    <row r="1810" spans="1:5" ht="14.25" customHeight="1">
      <c r="A1810" s="140">
        <v>43209</v>
      </c>
      <c r="B1810">
        <v>34427.29</v>
      </c>
      <c r="C1810">
        <v>357.25</v>
      </c>
      <c r="D1810">
        <v>2.7799999999999999E-3</v>
      </c>
      <c r="E1810">
        <v>5.47E-3</v>
      </c>
    </row>
    <row r="1811" spans="1:5" ht="14.25" customHeight="1">
      <c r="A1811" s="140">
        <v>43210</v>
      </c>
      <c r="B1811">
        <v>34415.58</v>
      </c>
      <c r="C1811">
        <v>354.2</v>
      </c>
      <c r="D1811">
        <v>-3.4000000000000002E-4</v>
      </c>
      <c r="E1811">
        <v>-8.5699999999999995E-3</v>
      </c>
    </row>
    <row r="1812" spans="1:5" ht="14.25" customHeight="1">
      <c r="A1812" s="140">
        <v>43213</v>
      </c>
      <c r="B1812">
        <v>34450.769999999997</v>
      </c>
      <c r="C1812">
        <v>357.45</v>
      </c>
      <c r="D1812">
        <v>1.0200000000000001E-3</v>
      </c>
      <c r="E1812">
        <v>9.1299999999999992E-3</v>
      </c>
    </row>
    <row r="1813" spans="1:5" ht="14.25" customHeight="1">
      <c r="A1813" s="140">
        <v>43214</v>
      </c>
      <c r="B1813">
        <v>34616.639999999999</v>
      </c>
      <c r="C1813">
        <v>356.85</v>
      </c>
      <c r="D1813">
        <v>4.7999999999999996E-3</v>
      </c>
      <c r="E1813">
        <v>-1.6800000000000001E-3</v>
      </c>
    </row>
    <row r="1814" spans="1:5" ht="14.25" customHeight="1">
      <c r="A1814" s="140">
        <v>43215</v>
      </c>
      <c r="B1814">
        <v>34501.269999999997</v>
      </c>
      <c r="C1814">
        <v>358</v>
      </c>
      <c r="D1814">
        <v>-3.3400000000000001E-3</v>
      </c>
      <c r="E1814">
        <v>3.2200000000000002E-3</v>
      </c>
    </row>
    <row r="1815" spans="1:5" ht="14.25" customHeight="1">
      <c r="A1815" s="140">
        <v>43216</v>
      </c>
      <c r="B1815">
        <v>34713.599999999999</v>
      </c>
      <c r="C1815">
        <v>357.85</v>
      </c>
      <c r="D1815">
        <v>6.1399999999999996E-3</v>
      </c>
      <c r="E1815">
        <v>-4.2000000000000002E-4</v>
      </c>
    </row>
    <row r="1816" spans="1:5" ht="14.25" customHeight="1">
      <c r="A1816" s="140">
        <v>43217</v>
      </c>
      <c r="B1816">
        <v>34969.699999999997</v>
      </c>
      <c r="C1816">
        <v>366.4</v>
      </c>
      <c r="D1816">
        <v>7.3499999999999998E-3</v>
      </c>
      <c r="E1816">
        <v>2.3609999999999999E-2</v>
      </c>
    </row>
    <row r="1817" spans="1:5" ht="14.25" customHeight="1">
      <c r="A1817" s="140">
        <v>43220</v>
      </c>
      <c r="B1817">
        <v>35160.36</v>
      </c>
      <c r="C1817">
        <v>369.7</v>
      </c>
      <c r="D1817">
        <v>5.4400000000000004E-3</v>
      </c>
      <c r="E1817">
        <v>8.9700000000000005E-3</v>
      </c>
    </row>
    <row r="1818" spans="1:5" ht="14.25" customHeight="1">
      <c r="A1818" s="140">
        <v>43222</v>
      </c>
      <c r="B1818">
        <v>35176.42</v>
      </c>
      <c r="C1818">
        <v>371.35</v>
      </c>
      <c r="D1818">
        <v>4.6000000000000001E-4</v>
      </c>
      <c r="E1818">
        <v>4.45E-3</v>
      </c>
    </row>
    <row r="1819" spans="1:5" ht="14.25" customHeight="1">
      <c r="A1819" s="140">
        <v>43223</v>
      </c>
      <c r="B1819">
        <v>35103.14</v>
      </c>
      <c r="C1819">
        <v>369.45</v>
      </c>
      <c r="D1819">
        <v>-2.0899999999999998E-3</v>
      </c>
      <c r="E1819">
        <v>-5.13E-3</v>
      </c>
    </row>
    <row r="1820" spans="1:5" ht="14.25" customHeight="1">
      <c r="A1820" s="140">
        <v>43224</v>
      </c>
      <c r="B1820">
        <v>34915.379999999997</v>
      </c>
      <c r="C1820">
        <v>370.95</v>
      </c>
      <c r="D1820">
        <v>-5.3600000000000002E-3</v>
      </c>
      <c r="E1820">
        <v>4.0499999999999998E-3</v>
      </c>
    </row>
    <row r="1821" spans="1:5" ht="14.25" customHeight="1">
      <c r="A1821" s="140">
        <v>43227</v>
      </c>
      <c r="B1821">
        <v>35208.14</v>
      </c>
      <c r="C1821">
        <v>368.05</v>
      </c>
      <c r="D1821">
        <v>8.3499999999999998E-3</v>
      </c>
      <c r="E1821">
        <v>-7.8499999999999993E-3</v>
      </c>
    </row>
    <row r="1822" spans="1:5" ht="14.25" customHeight="1">
      <c r="A1822" s="140">
        <v>43228</v>
      </c>
      <c r="B1822">
        <v>35216.32</v>
      </c>
      <c r="C1822">
        <v>370.1</v>
      </c>
      <c r="D1822">
        <v>2.3000000000000001E-4</v>
      </c>
      <c r="E1822">
        <v>5.5500000000000002E-3</v>
      </c>
    </row>
    <row r="1823" spans="1:5" ht="14.25" customHeight="1">
      <c r="A1823" s="140">
        <v>43229</v>
      </c>
      <c r="B1823">
        <v>35319.35</v>
      </c>
      <c r="C1823">
        <v>368.4</v>
      </c>
      <c r="D1823">
        <v>2.9199999999999999E-3</v>
      </c>
      <c r="E1823">
        <v>-4.5999999999999999E-3</v>
      </c>
    </row>
    <row r="1824" spans="1:5" ht="14.25" customHeight="1">
      <c r="A1824" s="140">
        <v>43230</v>
      </c>
      <c r="B1824">
        <v>35246.269999999997</v>
      </c>
      <c r="C1824">
        <v>367.7</v>
      </c>
      <c r="D1824">
        <v>-2.0699999999999998E-3</v>
      </c>
      <c r="E1824">
        <v>-1.9E-3</v>
      </c>
    </row>
    <row r="1825" spans="1:5" ht="14.25" customHeight="1">
      <c r="A1825" s="140">
        <v>43231</v>
      </c>
      <c r="B1825">
        <v>35535.79</v>
      </c>
      <c r="C1825">
        <v>366.6</v>
      </c>
      <c r="D1825">
        <v>8.1799999999999998E-3</v>
      </c>
      <c r="E1825">
        <v>-3.0000000000000001E-3</v>
      </c>
    </row>
    <row r="1826" spans="1:5" ht="14.25" customHeight="1">
      <c r="A1826" s="140">
        <v>43234</v>
      </c>
      <c r="B1826">
        <v>35556.71</v>
      </c>
      <c r="C1826">
        <v>370.25</v>
      </c>
      <c r="D1826">
        <v>5.9000000000000003E-4</v>
      </c>
      <c r="E1826">
        <v>9.9100000000000004E-3</v>
      </c>
    </row>
    <row r="1827" spans="1:5" ht="14.25" customHeight="1">
      <c r="A1827" s="140">
        <v>43235</v>
      </c>
      <c r="B1827">
        <v>35543.94</v>
      </c>
      <c r="C1827">
        <v>370.3</v>
      </c>
      <c r="D1827">
        <v>-3.6000000000000002E-4</v>
      </c>
      <c r="E1827">
        <v>1.3999999999999999E-4</v>
      </c>
    </row>
    <row r="1828" spans="1:5" ht="14.25" customHeight="1">
      <c r="A1828" s="140">
        <v>43236</v>
      </c>
      <c r="B1828">
        <v>35387.879999999997</v>
      </c>
      <c r="C1828">
        <v>374.2</v>
      </c>
      <c r="D1828">
        <v>-4.4000000000000003E-3</v>
      </c>
      <c r="E1828">
        <v>1.048E-2</v>
      </c>
    </row>
    <row r="1829" spans="1:5" ht="14.25" customHeight="1">
      <c r="A1829" s="140">
        <v>43237</v>
      </c>
      <c r="B1829">
        <v>35149.120000000003</v>
      </c>
      <c r="C1829">
        <v>371.3</v>
      </c>
      <c r="D1829">
        <v>-6.77E-3</v>
      </c>
      <c r="E1829">
        <v>-7.7799999999999996E-3</v>
      </c>
    </row>
    <row r="1830" spans="1:5" ht="14.25" customHeight="1">
      <c r="A1830" s="140">
        <v>43238</v>
      </c>
      <c r="B1830">
        <v>34848.300000000003</v>
      </c>
      <c r="C1830">
        <v>375</v>
      </c>
      <c r="D1830">
        <v>-8.6E-3</v>
      </c>
      <c r="E1830">
        <v>9.92E-3</v>
      </c>
    </row>
    <row r="1831" spans="1:5" ht="14.25" customHeight="1">
      <c r="A1831" s="140">
        <v>43241</v>
      </c>
      <c r="B1831">
        <v>34616.129999999997</v>
      </c>
      <c r="C1831">
        <v>372.3</v>
      </c>
      <c r="D1831">
        <v>-6.6800000000000002E-3</v>
      </c>
      <c r="E1831">
        <v>-7.2300000000000003E-3</v>
      </c>
    </row>
    <row r="1832" spans="1:5" ht="14.25" customHeight="1">
      <c r="A1832" s="140">
        <v>43242</v>
      </c>
      <c r="B1832">
        <v>34651.24</v>
      </c>
      <c r="C1832">
        <v>374.85</v>
      </c>
      <c r="D1832">
        <v>1.01E-3</v>
      </c>
      <c r="E1832">
        <v>6.8300000000000001E-3</v>
      </c>
    </row>
    <row r="1833" spans="1:5" ht="14.25" customHeight="1">
      <c r="A1833" s="140">
        <v>43243</v>
      </c>
      <c r="B1833">
        <v>34344.910000000003</v>
      </c>
      <c r="C1833">
        <v>368.1</v>
      </c>
      <c r="D1833">
        <v>-8.8800000000000007E-3</v>
      </c>
      <c r="E1833">
        <v>-1.8169999999999999E-2</v>
      </c>
    </row>
    <row r="1834" spans="1:5" ht="14.25" customHeight="1">
      <c r="A1834" s="140">
        <v>43244</v>
      </c>
      <c r="B1834">
        <v>34663.11</v>
      </c>
      <c r="C1834">
        <v>370.15</v>
      </c>
      <c r="D1834">
        <v>9.2200000000000008E-3</v>
      </c>
      <c r="E1834">
        <v>5.5500000000000002E-3</v>
      </c>
    </row>
    <row r="1835" spans="1:5" ht="14.25" customHeight="1">
      <c r="A1835" s="140">
        <v>43245</v>
      </c>
      <c r="B1835">
        <v>34924.870000000003</v>
      </c>
      <c r="C1835">
        <v>378.35</v>
      </c>
      <c r="D1835">
        <v>7.5199999999999998E-3</v>
      </c>
      <c r="E1835">
        <v>2.1909999999999999E-2</v>
      </c>
    </row>
    <row r="1836" spans="1:5" ht="14.25" customHeight="1">
      <c r="A1836" s="140">
        <v>43248</v>
      </c>
      <c r="B1836">
        <v>35165.480000000003</v>
      </c>
      <c r="C1836">
        <v>378.3</v>
      </c>
      <c r="D1836">
        <v>6.8700000000000002E-3</v>
      </c>
      <c r="E1836">
        <v>-1.2999999999999999E-4</v>
      </c>
    </row>
    <row r="1837" spans="1:5" ht="14.25" customHeight="1">
      <c r="A1837" s="140">
        <v>43249</v>
      </c>
      <c r="B1837">
        <v>34949.24</v>
      </c>
      <c r="C1837">
        <v>384.75</v>
      </c>
      <c r="D1837">
        <v>-6.1700000000000001E-3</v>
      </c>
      <c r="E1837">
        <v>1.6910000000000001E-2</v>
      </c>
    </row>
    <row r="1838" spans="1:5" ht="14.25" customHeight="1">
      <c r="A1838" s="140">
        <v>43250</v>
      </c>
      <c r="B1838">
        <v>34906.11</v>
      </c>
      <c r="C1838">
        <v>381.3</v>
      </c>
      <c r="D1838">
        <v>-1.23E-3</v>
      </c>
      <c r="E1838">
        <v>-9.0100000000000006E-3</v>
      </c>
    </row>
    <row r="1839" spans="1:5" ht="14.25" customHeight="1">
      <c r="A1839" s="140">
        <v>43251</v>
      </c>
      <c r="B1839">
        <v>35322.379999999997</v>
      </c>
      <c r="C1839">
        <v>383.75</v>
      </c>
      <c r="D1839">
        <v>1.1849999999999999E-2</v>
      </c>
      <c r="E1839">
        <v>6.4000000000000003E-3</v>
      </c>
    </row>
    <row r="1840" spans="1:5" ht="14.25" customHeight="1">
      <c r="A1840" s="140">
        <v>43252</v>
      </c>
      <c r="B1840">
        <v>35227.26</v>
      </c>
      <c r="C1840">
        <v>386.65</v>
      </c>
      <c r="D1840">
        <v>-2.7000000000000001E-3</v>
      </c>
      <c r="E1840">
        <v>7.5300000000000002E-3</v>
      </c>
    </row>
    <row r="1841" spans="1:5" ht="14.25" customHeight="1">
      <c r="A1841" s="140">
        <v>43255</v>
      </c>
      <c r="B1841">
        <v>35011.89</v>
      </c>
      <c r="C1841">
        <v>384.1</v>
      </c>
      <c r="D1841">
        <v>-6.13E-3</v>
      </c>
      <c r="E1841">
        <v>-6.62E-3</v>
      </c>
    </row>
    <row r="1842" spans="1:5" ht="14.25" customHeight="1">
      <c r="A1842" s="140">
        <v>43256</v>
      </c>
      <c r="B1842">
        <v>34903.21</v>
      </c>
      <c r="C1842">
        <v>381.1</v>
      </c>
      <c r="D1842">
        <v>-3.1099999999999999E-3</v>
      </c>
      <c r="E1842">
        <v>-7.8399999999999997E-3</v>
      </c>
    </row>
    <row r="1843" spans="1:5" ht="14.25" customHeight="1">
      <c r="A1843" s="140">
        <v>43257</v>
      </c>
      <c r="B1843">
        <v>35178.879999999997</v>
      </c>
      <c r="C1843">
        <v>378.1</v>
      </c>
      <c r="D1843">
        <v>7.8700000000000003E-3</v>
      </c>
      <c r="E1843">
        <v>-7.9000000000000008E-3</v>
      </c>
    </row>
    <row r="1844" spans="1:5" ht="14.25" customHeight="1">
      <c r="A1844" s="140">
        <v>43258</v>
      </c>
      <c r="B1844">
        <v>35463.08</v>
      </c>
      <c r="C1844">
        <v>384.05</v>
      </c>
      <c r="D1844">
        <v>8.0499999999999999E-3</v>
      </c>
      <c r="E1844">
        <v>1.5610000000000001E-2</v>
      </c>
    </row>
    <row r="1845" spans="1:5" ht="14.25" customHeight="1">
      <c r="A1845" s="140">
        <v>43259</v>
      </c>
      <c r="B1845">
        <v>35443.67</v>
      </c>
      <c r="C1845">
        <v>382.1</v>
      </c>
      <c r="D1845">
        <v>-5.5000000000000003E-4</v>
      </c>
      <c r="E1845">
        <v>-5.0899999999999999E-3</v>
      </c>
    </row>
    <row r="1846" spans="1:5" ht="14.25" customHeight="1">
      <c r="A1846" s="140">
        <v>43262</v>
      </c>
      <c r="B1846">
        <v>35483.47</v>
      </c>
      <c r="C1846">
        <v>386.05</v>
      </c>
      <c r="D1846">
        <v>1.1199999999999999E-3</v>
      </c>
      <c r="E1846">
        <v>1.0279999999999999E-2</v>
      </c>
    </row>
    <row r="1847" spans="1:5" ht="14.25" customHeight="1">
      <c r="A1847" s="140">
        <v>43263</v>
      </c>
      <c r="B1847">
        <v>35692.519999999997</v>
      </c>
      <c r="C1847">
        <v>386.7</v>
      </c>
      <c r="D1847">
        <v>5.8700000000000002E-3</v>
      </c>
      <c r="E1847">
        <v>1.6800000000000001E-3</v>
      </c>
    </row>
    <row r="1848" spans="1:5" ht="14.25" customHeight="1">
      <c r="A1848" s="140">
        <v>43264</v>
      </c>
      <c r="B1848">
        <v>35739.160000000003</v>
      </c>
      <c r="C1848">
        <v>388.25</v>
      </c>
      <c r="D1848">
        <v>1.31E-3</v>
      </c>
      <c r="E1848">
        <v>4.0000000000000001E-3</v>
      </c>
    </row>
    <row r="1849" spans="1:5" ht="14.25" customHeight="1">
      <c r="A1849" s="140">
        <v>43265</v>
      </c>
      <c r="B1849">
        <v>35599.82</v>
      </c>
      <c r="C1849">
        <v>386.95</v>
      </c>
      <c r="D1849">
        <v>-3.9100000000000003E-3</v>
      </c>
      <c r="E1849">
        <v>-3.3500000000000001E-3</v>
      </c>
    </row>
    <row r="1850" spans="1:5" ht="14.25" customHeight="1">
      <c r="A1850" s="140">
        <v>43266</v>
      </c>
      <c r="B1850">
        <v>35622.14</v>
      </c>
      <c r="C1850">
        <v>383.4</v>
      </c>
      <c r="D1850">
        <v>6.3000000000000003E-4</v>
      </c>
      <c r="E1850">
        <v>-9.2200000000000008E-3</v>
      </c>
    </row>
    <row r="1851" spans="1:5" ht="14.25" customHeight="1">
      <c r="A1851" s="140">
        <v>43269</v>
      </c>
      <c r="B1851">
        <v>35548.26</v>
      </c>
      <c r="C1851">
        <v>386.3</v>
      </c>
      <c r="D1851">
        <v>-2.0799999999999998E-3</v>
      </c>
      <c r="E1851">
        <v>7.5399999999999998E-3</v>
      </c>
    </row>
    <row r="1852" spans="1:5" ht="14.25" customHeight="1">
      <c r="A1852" s="140">
        <v>43270</v>
      </c>
      <c r="B1852">
        <v>35286.74</v>
      </c>
      <c r="C1852">
        <v>379.25</v>
      </c>
      <c r="D1852">
        <v>-7.3800000000000003E-3</v>
      </c>
      <c r="E1852">
        <v>-1.8419999999999999E-2</v>
      </c>
    </row>
    <row r="1853" spans="1:5" ht="14.25" customHeight="1">
      <c r="A1853" s="140">
        <v>43271</v>
      </c>
      <c r="B1853">
        <v>35547.33</v>
      </c>
      <c r="C1853">
        <v>379.5</v>
      </c>
      <c r="D1853">
        <v>7.3600000000000002E-3</v>
      </c>
      <c r="E1853">
        <v>6.6E-4</v>
      </c>
    </row>
    <row r="1854" spans="1:5" ht="14.25" customHeight="1">
      <c r="A1854" s="140">
        <v>43272</v>
      </c>
      <c r="B1854">
        <v>35432.39</v>
      </c>
      <c r="C1854">
        <v>385.8</v>
      </c>
      <c r="D1854">
        <v>-3.2399999999999998E-3</v>
      </c>
      <c r="E1854">
        <v>1.6459999999999999E-2</v>
      </c>
    </row>
    <row r="1855" spans="1:5" ht="14.25" customHeight="1">
      <c r="A1855" s="140">
        <v>43273</v>
      </c>
      <c r="B1855">
        <v>35689.599999999999</v>
      </c>
      <c r="C1855">
        <v>385.5</v>
      </c>
      <c r="D1855">
        <v>7.2300000000000003E-3</v>
      </c>
      <c r="E1855">
        <v>-7.7999999999999999E-4</v>
      </c>
    </row>
    <row r="1856" spans="1:5" ht="14.25" customHeight="1">
      <c r="A1856" s="140">
        <v>43276</v>
      </c>
      <c r="B1856">
        <v>35470.35</v>
      </c>
      <c r="C1856">
        <v>384.05</v>
      </c>
      <c r="D1856">
        <v>-6.1599999999999997E-3</v>
      </c>
      <c r="E1856">
        <v>-3.7699999999999999E-3</v>
      </c>
    </row>
    <row r="1857" spans="1:5" ht="14.25" customHeight="1">
      <c r="A1857" s="140">
        <v>43277</v>
      </c>
      <c r="B1857">
        <v>35490.04</v>
      </c>
      <c r="C1857">
        <v>386.15</v>
      </c>
      <c r="D1857">
        <v>5.5000000000000003E-4</v>
      </c>
      <c r="E1857">
        <v>5.45E-3</v>
      </c>
    </row>
    <row r="1858" spans="1:5" ht="14.25" customHeight="1">
      <c r="A1858" s="140">
        <v>43278</v>
      </c>
      <c r="B1858">
        <v>35217.11</v>
      </c>
      <c r="C1858">
        <v>392.2</v>
      </c>
      <c r="D1858">
        <v>-7.7200000000000003E-3</v>
      </c>
      <c r="E1858">
        <v>1.555E-2</v>
      </c>
    </row>
    <row r="1859" spans="1:5" ht="14.25" customHeight="1">
      <c r="A1859" s="140">
        <v>43279</v>
      </c>
      <c r="B1859">
        <v>35037.64</v>
      </c>
      <c r="C1859">
        <v>388.35</v>
      </c>
      <c r="D1859">
        <v>-5.11E-3</v>
      </c>
      <c r="E1859">
        <v>-9.8600000000000007E-3</v>
      </c>
    </row>
    <row r="1860" spans="1:5" ht="14.25" customHeight="1">
      <c r="A1860" s="140">
        <v>43280</v>
      </c>
      <c r="B1860">
        <v>35423.480000000003</v>
      </c>
      <c r="C1860">
        <v>390.9</v>
      </c>
      <c r="D1860">
        <v>1.095E-2</v>
      </c>
      <c r="E1860">
        <v>6.5399999999999998E-3</v>
      </c>
    </row>
    <row r="1861" spans="1:5" ht="14.25" customHeight="1">
      <c r="A1861" s="140">
        <v>43283</v>
      </c>
      <c r="B1861">
        <v>35264.410000000003</v>
      </c>
      <c r="C1861">
        <v>383.05</v>
      </c>
      <c r="D1861">
        <v>-4.4999999999999997E-3</v>
      </c>
      <c r="E1861">
        <v>-2.0289999999999999E-2</v>
      </c>
    </row>
    <row r="1862" spans="1:5" ht="14.25" customHeight="1">
      <c r="A1862" s="140">
        <v>43284</v>
      </c>
      <c r="B1862">
        <v>35378.6</v>
      </c>
      <c r="C1862">
        <v>384.2</v>
      </c>
      <c r="D1862">
        <v>3.2299999999999998E-3</v>
      </c>
      <c r="E1862">
        <v>3.0000000000000001E-3</v>
      </c>
    </row>
    <row r="1863" spans="1:5" ht="14.25" customHeight="1">
      <c r="A1863" s="140">
        <v>43285</v>
      </c>
      <c r="B1863">
        <v>35645.4</v>
      </c>
      <c r="C1863">
        <v>380.05</v>
      </c>
      <c r="D1863">
        <v>7.5100000000000002E-3</v>
      </c>
      <c r="E1863">
        <v>-1.086E-2</v>
      </c>
    </row>
    <row r="1864" spans="1:5" ht="14.25" customHeight="1">
      <c r="A1864" s="140">
        <v>43286</v>
      </c>
      <c r="B1864">
        <v>35574.550000000003</v>
      </c>
      <c r="C1864">
        <v>376.1</v>
      </c>
      <c r="D1864">
        <v>-1.99E-3</v>
      </c>
      <c r="E1864">
        <v>-1.0449999999999999E-2</v>
      </c>
    </row>
    <row r="1865" spans="1:5" ht="14.25" customHeight="1">
      <c r="A1865" s="140">
        <v>43287</v>
      </c>
      <c r="B1865">
        <v>35657.86</v>
      </c>
      <c r="C1865">
        <v>369.9</v>
      </c>
      <c r="D1865">
        <v>2.3400000000000001E-3</v>
      </c>
      <c r="E1865">
        <v>-1.6619999999999999E-2</v>
      </c>
    </row>
    <row r="1866" spans="1:5" ht="14.25" customHeight="1">
      <c r="A1866" s="140">
        <v>43290</v>
      </c>
      <c r="B1866">
        <v>35934.720000000001</v>
      </c>
      <c r="C1866">
        <v>375.05</v>
      </c>
      <c r="D1866">
        <v>7.7299999999999999E-3</v>
      </c>
      <c r="E1866">
        <v>1.383E-2</v>
      </c>
    </row>
    <row r="1867" spans="1:5" ht="14.25" customHeight="1">
      <c r="A1867" s="140">
        <v>43291</v>
      </c>
      <c r="B1867">
        <v>36239.620000000003</v>
      </c>
      <c r="C1867">
        <v>376.05</v>
      </c>
      <c r="D1867">
        <v>8.4499999999999992E-3</v>
      </c>
      <c r="E1867">
        <v>2.66E-3</v>
      </c>
    </row>
    <row r="1868" spans="1:5" ht="14.25" customHeight="1">
      <c r="A1868" s="140">
        <v>43292</v>
      </c>
      <c r="B1868">
        <v>36265.93</v>
      </c>
      <c r="C1868">
        <v>378.6</v>
      </c>
      <c r="D1868">
        <v>7.2999999999999996E-4</v>
      </c>
      <c r="E1868">
        <v>6.7600000000000004E-3</v>
      </c>
    </row>
    <row r="1869" spans="1:5" ht="14.25" customHeight="1">
      <c r="A1869" s="140">
        <v>43293</v>
      </c>
      <c r="B1869">
        <v>36548.410000000003</v>
      </c>
      <c r="C1869">
        <v>378</v>
      </c>
      <c r="D1869">
        <v>7.7600000000000004E-3</v>
      </c>
      <c r="E1869">
        <v>-1.5900000000000001E-3</v>
      </c>
    </row>
    <row r="1870" spans="1:5" ht="14.25" customHeight="1">
      <c r="A1870" s="140">
        <v>43294</v>
      </c>
      <c r="B1870">
        <v>36541.629999999997</v>
      </c>
      <c r="C1870">
        <v>376</v>
      </c>
      <c r="D1870">
        <v>-1.9000000000000001E-4</v>
      </c>
      <c r="E1870">
        <v>-5.3099999999999996E-3</v>
      </c>
    </row>
    <row r="1871" spans="1:5" ht="14.25" customHeight="1">
      <c r="A1871" s="140">
        <v>43297</v>
      </c>
      <c r="B1871">
        <v>36323.769999999997</v>
      </c>
      <c r="C1871">
        <v>367.9</v>
      </c>
      <c r="D1871">
        <v>-5.9800000000000001E-3</v>
      </c>
      <c r="E1871">
        <v>-2.1780000000000001E-2</v>
      </c>
    </row>
    <row r="1872" spans="1:5" ht="14.25" customHeight="1">
      <c r="A1872" s="140">
        <v>43298</v>
      </c>
      <c r="B1872">
        <v>36519.96</v>
      </c>
      <c r="C1872">
        <v>378</v>
      </c>
      <c r="D1872">
        <v>5.3899999999999998E-3</v>
      </c>
      <c r="E1872">
        <v>2.708E-2</v>
      </c>
    </row>
    <row r="1873" spans="1:5" ht="14.25" customHeight="1">
      <c r="A1873" s="140">
        <v>43299</v>
      </c>
      <c r="B1873">
        <v>36373.440000000002</v>
      </c>
      <c r="C1873">
        <v>373.6</v>
      </c>
      <c r="D1873">
        <v>-4.0200000000000001E-3</v>
      </c>
      <c r="E1873">
        <v>-1.171E-2</v>
      </c>
    </row>
    <row r="1874" spans="1:5" ht="14.25" customHeight="1">
      <c r="A1874" s="140">
        <v>43300</v>
      </c>
      <c r="B1874">
        <v>36351.230000000003</v>
      </c>
      <c r="C1874">
        <v>374.8</v>
      </c>
      <c r="D1874">
        <v>-6.0999999999999997E-4</v>
      </c>
      <c r="E1874">
        <v>3.2100000000000002E-3</v>
      </c>
    </row>
    <row r="1875" spans="1:5" ht="14.25" customHeight="1">
      <c r="A1875" s="140">
        <v>43301</v>
      </c>
      <c r="B1875">
        <v>36496.370000000003</v>
      </c>
      <c r="C1875">
        <v>373.1</v>
      </c>
      <c r="D1875">
        <v>3.98E-3</v>
      </c>
      <c r="E1875">
        <v>-4.5500000000000002E-3</v>
      </c>
    </row>
    <row r="1876" spans="1:5" ht="14.25" customHeight="1">
      <c r="A1876" s="140">
        <v>43304</v>
      </c>
      <c r="B1876">
        <v>36718.6</v>
      </c>
      <c r="C1876">
        <v>373.25</v>
      </c>
      <c r="D1876">
        <v>6.0699999999999999E-3</v>
      </c>
      <c r="E1876">
        <v>4.0000000000000002E-4</v>
      </c>
    </row>
    <row r="1877" spans="1:5" ht="14.25" customHeight="1">
      <c r="A1877" s="140">
        <v>43305</v>
      </c>
      <c r="B1877">
        <v>36825.1</v>
      </c>
      <c r="C1877">
        <v>373.5</v>
      </c>
      <c r="D1877">
        <v>2.8999999999999998E-3</v>
      </c>
      <c r="E1877">
        <v>6.7000000000000002E-4</v>
      </c>
    </row>
    <row r="1878" spans="1:5" ht="14.25" customHeight="1">
      <c r="A1878" s="140">
        <v>43306</v>
      </c>
      <c r="B1878">
        <v>36858.230000000003</v>
      </c>
      <c r="C1878">
        <v>371.3</v>
      </c>
      <c r="D1878">
        <v>8.9999999999999998E-4</v>
      </c>
      <c r="E1878">
        <v>-5.9100000000000003E-3</v>
      </c>
    </row>
    <row r="1879" spans="1:5" ht="14.25" customHeight="1">
      <c r="A1879" s="140">
        <v>43307</v>
      </c>
      <c r="B1879">
        <v>36984.639999999999</v>
      </c>
      <c r="C1879">
        <v>372.9</v>
      </c>
      <c r="D1879">
        <v>3.4199999999999999E-3</v>
      </c>
      <c r="E1879">
        <v>4.3E-3</v>
      </c>
    </row>
    <row r="1880" spans="1:5" ht="14.25" customHeight="1">
      <c r="A1880" s="140">
        <v>43308</v>
      </c>
      <c r="B1880">
        <v>37336.85</v>
      </c>
      <c r="C1880">
        <v>385.4</v>
      </c>
      <c r="D1880">
        <v>9.4800000000000006E-3</v>
      </c>
      <c r="E1880">
        <v>3.2969999999999999E-2</v>
      </c>
    </row>
    <row r="1881" spans="1:5" ht="14.25" customHeight="1">
      <c r="A1881" s="140">
        <v>43311</v>
      </c>
      <c r="B1881">
        <v>37494.400000000001</v>
      </c>
      <c r="C1881">
        <v>392.9</v>
      </c>
      <c r="D1881">
        <v>4.2100000000000002E-3</v>
      </c>
      <c r="E1881">
        <v>1.9269999999999999E-2</v>
      </c>
    </row>
    <row r="1882" spans="1:5" ht="14.25" customHeight="1">
      <c r="A1882" s="140">
        <v>43312</v>
      </c>
      <c r="B1882">
        <v>37606.58</v>
      </c>
      <c r="C1882">
        <v>420.25</v>
      </c>
      <c r="D1882">
        <v>2.99E-3</v>
      </c>
      <c r="E1882">
        <v>6.7290000000000003E-2</v>
      </c>
    </row>
    <row r="1883" spans="1:5" ht="14.25" customHeight="1">
      <c r="A1883" s="140">
        <v>43313</v>
      </c>
      <c r="B1883">
        <v>37521.620000000003</v>
      </c>
      <c r="C1883">
        <v>430.9</v>
      </c>
      <c r="D1883">
        <v>-2.2599999999999999E-3</v>
      </c>
      <c r="E1883">
        <v>2.503E-2</v>
      </c>
    </row>
    <row r="1884" spans="1:5" ht="14.25" customHeight="1">
      <c r="A1884" s="140">
        <v>43314</v>
      </c>
      <c r="B1884">
        <v>37165.160000000003</v>
      </c>
      <c r="C1884">
        <v>428.7</v>
      </c>
      <c r="D1884">
        <v>-9.5499999999999995E-3</v>
      </c>
      <c r="E1884">
        <v>-5.1200000000000004E-3</v>
      </c>
    </row>
    <row r="1885" spans="1:5" ht="14.25" customHeight="1">
      <c r="A1885" s="140">
        <v>43315</v>
      </c>
      <c r="B1885">
        <v>37556.160000000003</v>
      </c>
      <c r="C1885">
        <v>436.4</v>
      </c>
      <c r="D1885">
        <v>1.047E-2</v>
      </c>
      <c r="E1885">
        <v>1.78E-2</v>
      </c>
    </row>
    <row r="1886" spans="1:5" ht="14.25" customHeight="1">
      <c r="A1886" s="140">
        <v>43318</v>
      </c>
      <c r="B1886">
        <v>37691.89</v>
      </c>
      <c r="C1886">
        <v>435</v>
      </c>
      <c r="D1886">
        <v>3.6099999999999999E-3</v>
      </c>
      <c r="E1886">
        <v>-3.2100000000000002E-3</v>
      </c>
    </row>
    <row r="1887" spans="1:5" ht="14.25" customHeight="1">
      <c r="A1887" s="140">
        <v>43319</v>
      </c>
      <c r="B1887">
        <v>37665.800000000003</v>
      </c>
      <c r="C1887">
        <v>441.9</v>
      </c>
      <c r="D1887">
        <v>-6.8999999999999997E-4</v>
      </c>
      <c r="E1887">
        <v>1.5740000000000001E-2</v>
      </c>
    </row>
    <row r="1888" spans="1:5" ht="14.25" customHeight="1">
      <c r="A1888" s="140">
        <v>43320</v>
      </c>
      <c r="B1888">
        <v>37887.56</v>
      </c>
      <c r="C1888">
        <v>445</v>
      </c>
      <c r="D1888">
        <v>5.8700000000000002E-3</v>
      </c>
      <c r="E1888">
        <v>6.9899999999999997E-3</v>
      </c>
    </row>
    <row r="1889" spans="1:5" ht="14.25" customHeight="1">
      <c r="A1889" s="140">
        <v>43321</v>
      </c>
      <c r="B1889">
        <v>38024.370000000003</v>
      </c>
      <c r="C1889">
        <v>444.7</v>
      </c>
      <c r="D1889">
        <v>3.5999999999999999E-3</v>
      </c>
      <c r="E1889">
        <v>-6.7000000000000002E-4</v>
      </c>
    </row>
    <row r="1890" spans="1:5" ht="14.25" customHeight="1">
      <c r="A1890" s="140">
        <v>43322</v>
      </c>
      <c r="B1890">
        <v>37869.230000000003</v>
      </c>
      <c r="C1890">
        <v>441.45</v>
      </c>
      <c r="D1890">
        <v>-4.0899999999999999E-3</v>
      </c>
      <c r="E1890">
        <v>-7.3400000000000002E-3</v>
      </c>
    </row>
    <row r="1891" spans="1:5" ht="14.25" customHeight="1">
      <c r="A1891" s="140">
        <v>43325</v>
      </c>
      <c r="B1891">
        <v>37644.9</v>
      </c>
      <c r="C1891">
        <v>441</v>
      </c>
      <c r="D1891">
        <v>-5.94E-3</v>
      </c>
      <c r="E1891">
        <v>-1.0200000000000001E-3</v>
      </c>
    </row>
    <row r="1892" spans="1:5" ht="14.25" customHeight="1">
      <c r="A1892" s="140">
        <v>43326</v>
      </c>
      <c r="B1892">
        <v>37852</v>
      </c>
      <c r="C1892">
        <v>452.9</v>
      </c>
      <c r="D1892">
        <v>5.4900000000000001E-3</v>
      </c>
      <c r="E1892">
        <v>2.6630000000000001E-2</v>
      </c>
    </row>
    <row r="1893" spans="1:5" ht="14.25" customHeight="1">
      <c r="A1893" s="140">
        <v>43328</v>
      </c>
      <c r="B1893">
        <v>37663.56</v>
      </c>
      <c r="C1893">
        <v>444.9</v>
      </c>
      <c r="D1893">
        <v>-4.9899999999999996E-3</v>
      </c>
      <c r="E1893">
        <v>-1.7819999999999999E-2</v>
      </c>
    </row>
    <row r="1894" spans="1:5" ht="14.25" customHeight="1">
      <c r="A1894" s="140">
        <v>43329</v>
      </c>
      <c r="B1894">
        <v>37947.879999999997</v>
      </c>
      <c r="C1894">
        <v>455.45</v>
      </c>
      <c r="D1894">
        <v>7.5199999999999998E-3</v>
      </c>
      <c r="E1894">
        <v>2.3439999999999999E-2</v>
      </c>
    </row>
    <row r="1895" spans="1:5" ht="14.25" customHeight="1">
      <c r="A1895" s="140">
        <v>43332</v>
      </c>
      <c r="B1895">
        <v>38278.75</v>
      </c>
      <c r="C1895">
        <v>453.75</v>
      </c>
      <c r="D1895">
        <v>8.6800000000000002E-3</v>
      </c>
      <c r="E1895">
        <v>-3.7399999999999998E-3</v>
      </c>
    </row>
    <row r="1896" spans="1:5" ht="14.25" customHeight="1">
      <c r="A1896" s="140">
        <v>43333</v>
      </c>
      <c r="B1896">
        <v>38285.75</v>
      </c>
      <c r="C1896">
        <v>458.95</v>
      </c>
      <c r="D1896">
        <v>1.8000000000000001E-4</v>
      </c>
      <c r="E1896">
        <v>1.1390000000000001E-2</v>
      </c>
    </row>
    <row r="1897" spans="1:5" ht="14.25" customHeight="1">
      <c r="A1897" s="140">
        <v>43335</v>
      </c>
      <c r="B1897">
        <v>38336.76</v>
      </c>
      <c r="C1897">
        <v>484.8</v>
      </c>
      <c r="D1897">
        <v>1.33E-3</v>
      </c>
      <c r="E1897">
        <v>5.4800000000000001E-2</v>
      </c>
    </row>
    <row r="1898" spans="1:5" ht="14.25" customHeight="1">
      <c r="A1898" s="140">
        <v>43336</v>
      </c>
      <c r="B1898">
        <v>38251.800000000003</v>
      </c>
      <c r="C1898">
        <v>475.75</v>
      </c>
      <c r="D1898">
        <v>-2.2200000000000002E-3</v>
      </c>
      <c r="E1898">
        <v>-1.8839999999999999E-2</v>
      </c>
    </row>
    <row r="1899" spans="1:5" ht="14.25" customHeight="1">
      <c r="A1899" s="140">
        <v>43339</v>
      </c>
      <c r="B1899">
        <v>38694.11</v>
      </c>
      <c r="C1899">
        <v>481.6</v>
      </c>
      <c r="D1899">
        <v>1.15E-2</v>
      </c>
      <c r="E1899">
        <v>1.222E-2</v>
      </c>
    </row>
    <row r="1900" spans="1:5" ht="14.25" customHeight="1">
      <c r="A1900" s="140">
        <v>43340</v>
      </c>
      <c r="B1900">
        <v>38896.629999999997</v>
      </c>
      <c r="C1900">
        <v>485.7</v>
      </c>
      <c r="D1900">
        <v>5.2199999999999998E-3</v>
      </c>
      <c r="E1900">
        <v>8.4799999999999997E-3</v>
      </c>
    </row>
    <row r="1901" spans="1:5" ht="14.25" customHeight="1">
      <c r="A1901" s="140">
        <v>43341</v>
      </c>
      <c r="B1901">
        <v>38722.93</v>
      </c>
      <c r="C1901">
        <v>477.8</v>
      </c>
      <c r="D1901">
        <v>-4.4799999999999996E-3</v>
      </c>
      <c r="E1901">
        <v>-1.6400000000000001E-2</v>
      </c>
    </row>
    <row r="1902" spans="1:5" ht="14.25" customHeight="1">
      <c r="A1902" s="140">
        <v>43342</v>
      </c>
      <c r="B1902">
        <v>38690.1</v>
      </c>
      <c r="C1902">
        <v>479.8</v>
      </c>
      <c r="D1902">
        <v>-8.4999999999999995E-4</v>
      </c>
      <c r="E1902">
        <v>4.1799999999999997E-3</v>
      </c>
    </row>
    <row r="1903" spans="1:5" ht="14.25" customHeight="1">
      <c r="A1903" s="140">
        <v>43343</v>
      </c>
      <c r="B1903">
        <v>38645.07</v>
      </c>
      <c r="C1903">
        <v>479</v>
      </c>
      <c r="D1903">
        <v>-1.16E-3</v>
      </c>
      <c r="E1903">
        <v>-1.67E-3</v>
      </c>
    </row>
    <row r="1904" spans="1:5" ht="14.25" customHeight="1">
      <c r="A1904" s="140">
        <v>43346</v>
      </c>
      <c r="B1904">
        <v>38312.519999999997</v>
      </c>
      <c r="C1904">
        <v>466.1</v>
      </c>
      <c r="D1904">
        <v>-8.6400000000000001E-3</v>
      </c>
      <c r="E1904">
        <v>-2.7300000000000001E-2</v>
      </c>
    </row>
    <row r="1905" spans="1:5" ht="14.25" customHeight="1">
      <c r="A1905" s="140">
        <v>43347</v>
      </c>
      <c r="B1905">
        <v>38157.919999999998</v>
      </c>
      <c r="C1905">
        <v>447.8</v>
      </c>
      <c r="D1905">
        <v>-4.0400000000000002E-3</v>
      </c>
      <c r="E1905">
        <v>-4.0050000000000002E-2</v>
      </c>
    </row>
    <row r="1906" spans="1:5" ht="14.25" customHeight="1">
      <c r="A1906" s="140">
        <v>43348</v>
      </c>
      <c r="B1906">
        <v>38018.31</v>
      </c>
      <c r="C1906">
        <v>455.45</v>
      </c>
      <c r="D1906">
        <v>-3.6700000000000001E-3</v>
      </c>
      <c r="E1906">
        <v>1.694E-2</v>
      </c>
    </row>
    <row r="1907" spans="1:5" ht="14.25" customHeight="1">
      <c r="A1907" s="140">
        <v>43349</v>
      </c>
      <c r="B1907">
        <v>38242.81</v>
      </c>
      <c r="C1907">
        <v>454.4</v>
      </c>
      <c r="D1907">
        <v>5.8900000000000003E-3</v>
      </c>
      <c r="E1907">
        <v>-2.31E-3</v>
      </c>
    </row>
    <row r="1908" spans="1:5" ht="14.25" customHeight="1">
      <c r="A1908" s="140">
        <v>43350</v>
      </c>
      <c r="B1908">
        <v>38389.82</v>
      </c>
      <c r="C1908">
        <v>468.35</v>
      </c>
      <c r="D1908">
        <v>3.8400000000000001E-3</v>
      </c>
      <c r="E1908">
        <v>3.024E-2</v>
      </c>
    </row>
    <row r="1909" spans="1:5" ht="14.25" customHeight="1">
      <c r="A1909" s="140">
        <v>43353</v>
      </c>
      <c r="B1909">
        <v>37922.17</v>
      </c>
      <c r="C1909">
        <v>449.7</v>
      </c>
      <c r="D1909">
        <v>-1.226E-2</v>
      </c>
      <c r="E1909">
        <v>-4.0640000000000003E-2</v>
      </c>
    </row>
    <row r="1910" spans="1:5" ht="14.25" customHeight="1">
      <c r="A1910" s="140">
        <v>43354</v>
      </c>
      <c r="B1910">
        <v>37413.129999999997</v>
      </c>
      <c r="C1910">
        <v>443.65</v>
      </c>
      <c r="D1910">
        <v>-1.3509999999999999E-2</v>
      </c>
      <c r="E1910">
        <v>-1.354E-2</v>
      </c>
    </row>
    <row r="1911" spans="1:5" ht="14.25" customHeight="1">
      <c r="A1911" s="140">
        <v>43355</v>
      </c>
      <c r="B1911">
        <v>37717.96</v>
      </c>
      <c r="C1911">
        <v>453.5</v>
      </c>
      <c r="D1911">
        <v>8.1099999999999992E-3</v>
      </c>
      <c r="E1911">
        <v>2.196E-2</v>
      </c>
    </row>
    <row r="1912" spans="1:5" ht="14.25" customHeight="1">
      <c r="A1912" s="140">
        <v>43357</v>
      </c>
      <c r="B1912">
        <v>38090.639999999999</v>
      </c>
      <c r="C1912">
        <v>467.65</v>
      </c>
      <c r="D1912">
        <v>9.8300000000000002E-3</v>
      </c>
      <c r="E1912">
        <v>3.0720000000000001E-2</v>
      </c>
    </row>
    <row r="1913" spans="1:5" ht="14.25" customHeight="1">
      <c r="A1913" s="140">
        <v>43360</v>
      </c>
      <c r="B1913">
        <v>37585.51</v>
      </c>
      <c r="C1913">
        <v>459.9</v>
      </c>
      <c r="D1913">
        <v>-1.3350000000000001E-2</v>
      </c>
      <c r="E1913">
        <v>-1.6709999999999999E-2</v>
      </c>
    </row>
    <row r="1914" spans="1:5" ht="14.25" customHeight="1">
      <c r="A1914" s="140">
        <v>43361</v>
      </c>
      <c r="B1914">
        <v>37290.67</v>
      </c>
      <c r="C1914">
        <v>469.5</v>
      </c>
      <c r="D1914">
        <v>-7.8799999999999999E-3</v>
      </c>
      <c r="E1914">
        <v>2.0660000000000001E-2</v>
      </c>
    </row>
    <row r="1915" spans="1:5" ht="14.25" customHeight="1">
      <c r="A1915" s="140">
        <v>43362</v>
      </c>
      <c r="B1915">
        <v>37121.22</v>
      </c>
      <c r="C1915">
        <v>465.75</v>
      </c>
      <c r="D1915">
        <v>-4.5500000000000002E-3</v>
      </c>
      <c r="E1915">
        <v>-8.0199999999999994E-3</v>
      </c>
    </row>
    <row r="1916" spans="1:5" ht="14.25" customHeight="1">
      <c r="A1916" s="140">
        <v>43364</v>
      </c>
      <c r="B1916">
        <v>36841.599999999999</v>
      </c>
      <c r="C1916">
        <v>456.1</v>
      </c>
      <c r="D1916">
        <v>-7.5599999999999999E-3</v>
      </c>
      <c r="E1916">
        <v>-2.094E-2</v>
      </c>
    </row>
    <row r="1917" spans="1:5" ht="14.25" customHeight="1">
      <c r="A1917" s="140">
        <v>43367</v>
      </c>
      <c r="B1917">
        <v>36305.019999999997</v>
      </c>
      <c r="C1917">
        <v>433</v>
      </c>
      <c r="D1917">
        <v>-1.4670000000000001E-2</v>
      </c>
      <c r="E1917">
        <v>-5.1970000000000002E-2</v>
      </c>
    </row>
    <row r="1918" spans="1:5" ht="14.25" customHeight="1">
      <c r="A1918" s="140">
        <v>43368</v>
      </c>
      <c r="B1918">
        <v>36652.06</v>
      </c>
      <c r="C1918">
        <v>438.3</v>
      </c>
      <c r="D1918">
        <v>9.5099999999999994E-3</v>
      </c>
      <c r="E1918">
        <v>1.217E-2</v>
      </c>
    </row>
    <row r="1919" spans="1:5" ht="14.25" customHeight="1">
      <c r="A1919" s="140">
        <v>43369</v>
      </c>
      <c r="B1919">
        <v>36542.269999999997</v>
      </c>
      <c r="C1919">
        <v>436.4</v>
      </c>
      <c r="D1919">
        <v>-3.0000000000000001E-3</v>
      </c>
      <c r="E1919">
        <v>-4.3400000000000001E-3</v>
      </c>
    </row>
    <row r="1920" spans="1:5" ht="14.25" customHeight="1">
      <c r="A1920" s="140">
        <v>43370</v>
      </c>
      <c r="B1920">
        <v>36324.17</v>
      </c>
      <c r="C1920">
        <v>437.55</v>
      </c>
      <c r="D1920">
        <v>-5.9899999999999997E-3</v>
      </c>
      <c r="E1920">
        <v>2.63E-3</v>
      </c>
    </row>
    <row r="1921" spans="1:5" ht="14.25" customHeight="1">
      <c r="A1921" s="140">
        <v>43371</v>
      </c>
      <c r="B1921">
        <v>36227.14</v>
      </c>
      <c r="C1921">
        <v>427.6</v>
      </c>
      <c r="D1921">
        <v>-2.6700000000000001E-3</v>
      </c>
      <c r="E1921">
        <v>-2.3E-2</v>
      </c>
    </row>
    <row r="1922" spans="1:5" ht="14.25" customHeight="1">
      <c r="A1922" s="140">
        <v>43374</v>
      </c>
      <c r="B1922">
        <v>36526.14</v>
      </c>
      <c r="C1922">
        <v>438.6</v>
      </c>
      <c r="D1922">
        <v>8.2199999999999999E-3</v>
      </c>
      <c r="E1922">
        <v>2.5399999999999999E-2</v>
      </c>
    </row>
    <row r="1923" spans="1:5" ht="14.25" customHeight="1">
      <c r="A1923" s="140">
        <v>43376</v>
      </c>
      <c r="B1923">
        <v>35975.629999999997</v>
      </c>
      <c r="C1923">
        <v>426.05</v>
      </c>
      <c r="D1923">
        <v>-1.519E-2</v>
      </c>
      <c r="E1923">
        <v>-2.903E-2</v>
      </c>
    </row>
    <row r="1924" spans="1:5" ht="14.25" customHeight="1">
      <c r="A1924" s="140">
        <v>43377</v>
      </c>
      <c r="B1924">
        <v>35169.160000000003</v>
      </c>
      <c r="C1924">
        <v>415.95</v>
      </c>
      <c r="D1924">
        <v>-2.2669999999999999E-2</v>
      </c>
      <c r="E1924">
        <v>-2.3990000000000001E-2</v>
      </c>
    </row>
    <row r="1925" spans="1:5" ht="14.25" customHeight="1">
      <c r="A1925" s="140">
        <v>43378</v>
      </c>
      <c r="B1925">
        <v>34376.99</v>
      </c>
      <c r="C1925">
        <v>419.95</v>
      </c>
      <c r="D1925">
        <v>-2.2780000000000002E-2</v>
      </c>
      <c r="E1925">
        <v>9.5700000000000004E-3</v>
      </c>
    </row>
    <row r="1926" spans="1:5" ht="14.25" customHeight="1">
      <c r="A1926" s="140">
        <v>43381</v>
      </c>
      <c r="B1926">
        <v>34474.379999999997</v>
      </c>
      <c r="C1926">
        <v>410.55</v>
      </c>
      <c r="D1926">
        <v>2.8300000000000001E-3</v>
      </c>
      <c r="E1926">
        <v>-2.264E-2</v>
      </c>
    </row>
    <row r="1927" spans="1:5" ht="14.25" customHeight="1">
      <c r="A1927" s="140">
        <v>43382</v>
      </c>
      <c r="B1927">
        <v>34299.47</v>
      </c>
      <c r="C1927">
        <v>392.5</v>
      </c>
      <c r="D1927">
        <v>-5.0899999999999999E-3</v>
      </c>
      <c r="E1927">
        <v>-4.496E-2</v>
      </c>
    </row>
    <row r="1928" spans="1:5" ht="14.25" customHeight="1">
      <c r="A1928" s="140">
        <v>43383</v>
      </c>
      <c r="B1928">
        <v>34760.89</v>
      </c>
      <c r="C1928">
        <v>405.75</v>
      </c>
      <c r="D1928">
        <v>1.336E-2</v>
      </c>
      <c r="E1928">
        <v>3.32E-2</v>
      </c>
    </row>
    <row r="1929" spans="1:5" ht="14.25" customHeight="1">
      <c r="A1929" s="140">
        <v>43384</v>
      </c>
      <c r="B1929">
        <v>34001.15</v>
      </c>
      <c r="C1929">
        <v>393.4</v>
      </c>
      <c r="D1929">
        <v>-2.2100000000000002E-2</v>
      </c>
      <c r="E1929">
        <v>-3.091E-2</v>
      </c>
    </row>
    <row r="1930" spans="1:5" ht="14.25" customHeight="1">
      <c r="A1930" s="140">
        <v>43385</v>
      </c>
      <c r="B1930">
        <v>34733.58</v>
      </c>
      <c r="C1930">
        <v>407.5</v>
      </c>
      <c r="D1930">
        <v>2.1309999999999999E-2</v>
      </c>
      <c r="E1930">
        <v>3.5209999999999998E-2</v>
      </c>
    </row>
    <row r="1931" spans="1:5" ht="14.25" customHeight="1">
      <c r="A1931" s="140">
        <v>43388</v>
      </c>
      <c r="B1931">
        <v>34865.1</v>
      </c>
      <c r="C1931">
        <v>397.3</v>
      </c>
      <c r="D1931">
        <v>3.7799999999999999E-3</v>
      </c>
      <c r="E1931">
        <v>-2.5350000000000001E-2</v>
      </c>
    </row>
    <row r="1932" spans="1:5" ht="14.25" customHeight="1">
      <c r="A1932" s="140">
        <v>43389</v>
      </c>
      <c r="B1932">
        <v>35162.480000000003</v>
      </c>
      <c r="C1932">
        <v>406.15</v>
      </c>
      <c r="D1932">
        <v>8.4899999999999993E-3</v>
      </c>
      <c r="E1932">
        <v>2.2030000000000001E-2</v>
      </c>
    </row>
    <row r="1933" spans="1:5" ht="14.25" customHeight="1">
      <c r="A1933" s="140">
        <v>43390</v>
      </c>
      <c r="B1933">
        <v>34779.58</v>
      </c>
      <c r="C1933">
        <v>401.75</v>
      </c>
      <c r="D1933">
        <v>-1.095E-2</v>
      </c>
      <c r="E1933">
        <v>-1.089E-2</v>
      </c>
    </row>
    <row r="1934" spans="1:5" ht="14.25" customHeight="1">
      <c r="A1934" s="140">
        <v>43392</v>
      </c>
      <c r="B1934">
        <v>34315.629999999997</v>
      </c>
      <c r="C1934">
        <v>404.35</v>
      </c>
      <c r="D1934">
        <v>-1.3429999999999999E-2</v>
      </c>
      <c r="E1934">
        <v>6.45E-3</v>
      </c>
    </row>
    <row r="1935" spans="1:5" ht="14.25" customHeight="1">
      <c r="A1935" s="140">
        <v>43395</v>
      </c>
      <c r="B1935">
        <v>34134.379999999997</v>
      </c>
      <c r="C1935">
        <v>404.75</v>
      </c>
      <c r="D1935">
        <v>-5.3E-3</v>
      </c>
      <c r="E1935">
        <v>9.8999999999999999E-4</v>
      </c>
    </row>
    <row r="1936" spans="1:5" ht="14.25" customHeight="1">
      <c r="A1936" s="140">
        <v>43396</v>
      </c>
      <c r="B1936">
        <v>33847.230000000003</v>
      </c>
      <c r="C1936">
        <v>400.5</v>
      </c>
      <c r="D1936">
        <v>-8.4499999999999992E-3</v>
      </c>
      <c r="E1936">
        <v>-1.056E-2</v>
      </c>
    </row>
    <row r="1937" spans="1:5" ht="14.25" customHeight="1">
      <c r="A1937" s="140">
        <v>43397</v>
      </c>
      <c r="B1937">
        <v>34033.96</v>
      </c>
      <c r="C1937">
        <v>404.25</v>
      </c>
      <c r="D1937">
        <v>5.4999999999999997E-3</v>
      </c>
      <c r="E1937">
        <v>9.3200000000000002E-3</v>
      </c>
    </row>
    <row r="1938" spans="1:5" ht="14.25" customHeight="1">
      <c r="A1938" s="140">
        <v>43398</v>
      </c>
      <c r="B1938">
        <v>33690.089999999997</v>
      </c>
      <c r="C1938">
        <v>398.4</v>
      </c>
      <c r="D1938">
        <v>-1.0160000000000001E-2</v>
      </c>
      <c r="E1938">
        <v>-1.4579999999999999E-2</v>
      </c>
    </row>
    <row r="1939" spans="1:5" ht="14.25" customHeight="1">
      <c r="A1939" s="140">
        <v>43399</v>
      </c>
      <c r="B1939">
        <v>33349.31</v>
      </c>
      <c r="C1939">
        <v>397.35</v>
      </c>
      <c r="D1939">
        <v>-1.017E-2</v>
      </c>
      <c r="E1939">
        <v>-2.64E-3</v>
      </c>
    </row>
    <row r="1940" spans="1:5" ht="14.25" customHeight="1">
      <c r="A1940" s="140">
        <v>43402</v>
      </c>
      <c r="B1940">
        <v>34067.4</v>
      </c>
      <c r="C1940">
        <v>409</v>
      </c>
      <c r="D1940">
        <v>2.1299999999999999E-2</v>
      </c>
      <c r="E1940">
        <v>2.8899999999999999E-2</v>
      </c>
    </row>
    <row r="1941" spans="1:5" ht="14.25" customHeight="1">
      <c r="A1941" s="140">
        <v>43403</v>
      </c>
      <c r="B1941">
        <v>33891.129999999997</v>
      </c>
      <c r="C1941">
        <v>394.9</v>
      </c>
      <c r="D1941">
        <v>-5.1900000000000002E-3</v>
      </c>
      <c r="E1941">
        <v>-3.508E-2</v>
      </c>
    </row>
    <row r="1942" spans="1:5" ht="14.25" customHeight="1">
      <c r="A1942" s="140">
        <v>43404</v>
      </c>
      <c r="B1942">
        <v>34442.050000000003</v>
      </c>
      <c r="C1942">
        <v>385.4</v>
      </c>
      <c r="D1942">
        <v>1.6119999999999999E-2</v>
      </c>
      <c r="E1942">
        <v>-2.435E-2</v>
      </c>
    </row>
    <row r="1943" spans="1:5" ht="14.25" customHeight="1">
      <c r="A1943" s="140">
        <v>43405</v>
      </c>
      <c r="B1943">
        <v>34431.97</v>
      </c>
      <c r="C1943">
        <v>370.7</v>
      </c>
      <c r="D1943">
        <v>-2.9E-4</v>
      </c>
      <c r="E1943">
        <v>-3.8890000000000001E-2</v>
      </c>
    </row>
    <row r="1944" spans="1:5" ht="14.25" customHeight="1">
      <c r="A1944" s="140">
        <v>43406</v>
      </c>
      <c r="B1944">
        <v>35011.65</v>
      </c>
      <c r="C1944">
        <v>369.95</v>
      </c>
      <c r="D1944">
        <v>1.67E-2</v>
      </c>
      <c r="E1944">
        <v>-2.0300000000000001E-3</v>
      </c>
    </row>
    <row r="1945" spans="1:5" ht="14.25" customHeight="1">
      <c r="A1945" s="140">
        <v>43409</v>
      </c>
      <c r="B1945">
        <v>34950.92</v>
      </c>
      <c r="C1945">
        <v>366.45</v>
      </c>
      <c r="D1945">
        <v>-1.74E-3</v>
      </c>
      <c r="E1945">
        <v>-9.5099999999999994E-3</v>
      </c>
    </row>
    <row r="1946" spans="1:5" ht="14.25" customHeight="1">
      <c r="A1946" s="140">
        <v>43410</v>
      </c>
      <c r="B1946">
        <v>34991.910000000003</v>
      </c>
      <c r="C1946">
        <v>365.5</v>
      </c>
      <c r="D1946">
        <v>1.17E-3</v>
      </c>
      <c r="E1946">
        <v>-2.5999999999999999E-3</v>
      </c>
    </row>
    <row r="1947" spans="1:5" ht="14.25" customHeight="1">
      <c r="A1947" s="140">
        <v>43411</v>
      </c>
      <c r="B1947">
        <v>35237.68</v>
      </c>
      <c r="C1947">
        <v>369.5</v>
      </c>
      <c r="D1947">
        <v>7.0000000000000001E-3</v>
      </c>
      <c r="E1947">
        <v>1.0880000000000001E-2</v>
      </c>
    </row>
    <row r="1948" spans="1:5" ht="14.25" customHeight="1">
      <c r="A1948" s="140">
        <v>43413</v>
      </c>
      <c r="B1948">
        <v>35158.550000000003</v>
      </c>
      <c r="C1948">
        <v>376.1</v>
      </c>
      <c r="D1948">
        <v>-2.2499999999999998E-3</v>
      </c>
      <c r="E1948">
        <v>1.77E-2</v>
      </c>
    </row>
    <row r="1949" spans="1:5" ht="14.25" customHeight="1">
      <c r="A1949" s="140">
        <v>43416</v>
      </c>
      <c r="B1949">
        <v>34812.99</v>
      </c>
      <c r="C1949">
        <v>375.4</v>
      </c>
      <c r="D1949">
        <v>-9.8799999999999999E-3</v>
      </c>
      <c r="E1949">
        <v>-1.8600000000000001E-3</v>
      </c>
    </row>
    <row r="1950" spans="1:5" ht="14.25" customHeight="1">
      <c r="A1950" s="140">
        <v>43417</v>
      </c>
      <c r="B1950">
        <v>35144.49</v>
      </c>
      <c r="C1950">
        <v>369.4</v>
      </c>
      <c r="D1950">
        <v>9.4800000000000006E-3</v>
      </c>
      <c r="E1950">
        <v>-1.6109999999999999E-2</v>
      </c>
    </row>
    <row r="1951" spans="1:5" ht="14.25" customHeight="1">
      <c r="A1951" s="140">
        <v>43418</v>
      </c>
      <c r="B1951">
        <v>35141.99</v>
      </c>
      <c r="C1951">
        <v>378.75</v>
      </c>
      <c r="D1951">
        <v>-6.9999999999999994E-5</v>
      </c>
      <c r="E1951">
        <v>2.5000000000000001E-2</v>
      </c>
    </row>
    <row r="1952" spans="1:5" ht="14.25" customHeight="1">
      <c r="A1952" s="140">
        <v>43419</v>
      </c>
      <c r="B1952">
        <v>35260.54</v>
      </c>
      <c r="C1952">
        <v>388.9</v>
      </c>
      <c r="D1952">
        <v>3.3700000000000002E-3</v>
      </c>
      <c r="E1952">
        <v>2.6450000000000001E-2</v>
      </c>
    </row>
    <row r="1953" spans="1:5" ht="14.25" customHeight="1">
      <c r="A1953" s="140">
        <v>43420</v>
      </c>
      <c r="B1953">
        <v>35457.160000000003</v>
      </c>
      <c r="C1953">
        <v>394.55</v>
      </c>
      <c r="D1953">
        <v>5.5599999999999998E-3</v>
      </c>
      <c r="E1953">
        <v>1.4420000000000001E-2</v>
      </c>
    </row>
    <row r="1954" spans="1:5" ht="14.25" customHeight="1">
      <c r="A1954" s="140">
        <v>43423</v>
      </c>
      <c r="B1954">
        <v>35774.879999999997</v>
      </c>
      <c r="C1954">
        <v>407.5</v>
      </c>
      <c r="D1954">
        <v>8.9200000000000008E-3</v>
      </c>
      <c r="E1954">
        <v>3.2300000000000002E-2</v>
      </c>
    </row>
    <row r="1955" spans="1:5" ht="14.25" customHeight="1">
      <c r="A1955" s="140">
        <v>43424</v>
      </c>
      <c r="B1955">
        <v>35474.51</v>
      </c>
      <c r="C1955">
        <v>394.45</v>
      </c>
      <c r="D1955">
        <v>-8.43E-3</v>
      </c>
      <c r="E1955">
        <v>-3.2550000000000003E-2</v>
      </c>
    </row>
    <row r="1956" spans="1:5" ht="14.25" customHeight="1">
      <c r="A1956" s="140">
        <v>43425</v>
      </c>
      <c r="B1956">
        <v>35199.800000000003</v>
      </c>
      <c r="C1956">
        <v>400.4</v>
      </c>
      <c r="D1956">
        <v>-7.77E-3</v>
      </c>
      <c r="E1956">
        <v>1.4970000000000001E-2</v>
      </c>
    </row>
    <row r="1957" spans="1:5" ht="14.25" customHeight="1">
      <c r="A1957" s="140">
        <v>43426</v>
      </c>
      <c r="B1957">
        <v>34981.019999999997</v>
      </c>
      <c r="C1957">
        <v>399.85</v>
      </c>
      <c r="D1957">
        <v>-6.2300000000000003E-3</v>
      </c>
      <c r="E1957">
        <v>-1.3699999999999999E-3</v>
      </c>
    </row>
    <row r="1958" spans="1:5" ht="14.25" customHeight="1">
      <c r="A1958" s="140">
        <v>43430</v>
      </c>
      <c r="B1958">
        <v>35354.080000000002</v>
      </c>
      <c r="C1958">
        <v>418.6</v>
      </c>
      <c r="D1958">
        <v>1.061E-2</v>
      </c>
      <c r="E1958">
        <v>4.5830000000000003E-2</v>
      </c>
    </row>
    <row r="1959" spans="1:5" ht="14.25" customHeight="1">
      <c r="A1959" s="140">
        <v>43431</v>
      </c>
      <c r="B1959">
        <v>35513.14</v>
      </c>
      <c r="C1959">
        <v>419.5</v>
      </c>
      <c r="D1959">
        <v>4.4900000000000001E-3</v>
      </c>
      <c r="E1959">
        <v>2.15E-3</v>
      </c>
    </row>
    <row r="1960" spans="1:5" ht="14.25" customHeight="1">
      <c r="A1960" s="140">
        <v>43432</v>
      </c>
      <c r="B1960">
        <v>35716.949999999997</v>
      </c>
      <c r="C1960">
        <v>415.05</v>
      </c>
      <c r="D1960">
        <v>5.7200000000000003E-3</v>
      </c>
      <c r="E1960">
        <v>-1.0659999999999999E-2</v>
      </c>
    </row>
    <row r="1961" spans="1:5" ht="14.25" customHeight="1">
      <c r="A1961" s="140">
        <v>43433</v>
      </c>
      <c r="B1961">
        <v>36170.410000000003</v>
      </c>
      <c r="C1961">
        <v>413.55</v>
      </c>
      <c r="D1961">
        <v>1.2619999999999999E-2</v>
      </c>
      <c r="E1961">
        <v>-3.62E-3</v>
      </c>
    </row>
    <row r="1962" spans="1:5" ht="14.25" customHeight="1">
      <c r="A1962" s="140">
        <v>43434</v>
      </c>
      <c r="B1962">
        <v>36194.300000000003</v>
      </c>
      <c r="C1962">
        <v>410.6</v>
      </c>
      <c r="D1962">
        <v>6.6E-4</v>
      </c>
      <c r="E1962">
        <v>-7.1599999999999997E-3</v>
      </c>
    </row>
    <row r="1963" spans="1:5" ht="14.25" customHeight="1">
      <c r="A1963" s="140">
        <v>43437</v>
      </c>
      <c r="B1963">
        <v>36241</v>
      </c>
      <c r="C1963">
        <v>413.3</v>
      </c>
      <c r="D1963">
        <v>1.2899999999999999E-3</v>
      </c>
      <c r="E1963">
        <v>6.5500000000000003E-3</v>
      </c>
    </row>
    <row r="1964" spans="1:5" ht="14.25" customHeight="1">
      <c r="A1964" s="140">
        <v>43438</v>
      </c>
      <c r="B1964">
        <v>36134.31</v>
      </c>
      <c r="C1964">
        <v>409.25</v>
      </c>
      <c r="D1964">
        <v>-2.9499999999999999E-3</v>
      </c>
      <c r="E1964">
        <v>-9.8499999999999994E-3</v>
      </c>
    </row>
    <row r="1965" spans="1:5" ht="14.25" customHeight="1">
      <c r="A1965" s="140">
        <v>43439</v>
      </c>
      <c r="B1965">
        <v>35884.410000000003</v>
      </c>
      <c r="C1965">
        <v>410.2</v>
      </c>
      <c r="D1965">
        <v>-6.94E-3</v>
      </c>
      <c r="E1965">
        <v>2.32E-3</v>
      </c>
    </row>
    <row r="1966" spans="1:5" ht="14.25" customHeight="1">
      <c r="A1966" s="140">
        <v>43440</v>
      </c>
      <c r="B1966">
        <v>35312.129999999997</v>
      </c>
      <c r="C1966">
        <v>400.5</v>
      </c>
      <c r="D1966">
        <v>-1.6080000000000001E-2</v>
      </c>
      <c r="E1966">
        <v>-2.393E-2</v>
      </c>
    </row>
    <row r="1967" spans="1:5" ht="14.25" customHeight="1">
      <c r="A1967" s="140">
        <v>43441</v>
      </c>
      <c r="B1967">
        <v>35673.25</v>
      </c>
      <c r="C1967">
        <v>411</v>
      </c>
      <c r="D1967">
        <v>1.017E-2</v>
      </c>
      <c r="E1967">
        <v>2.588E-2</v>
      </c>
    </row>
    <row r="1968" spans="1:5" ht="14.25" customHeight="1">
      <c r="A1968" s="140">
        <v>43444</v>
      </c>
      <c r="B1968">
        <v>34959.72</v>
      </c>
      <c r="C1968">
        <v>404.6</v>
      </c>
      <c r="D1968">
        <v>-2.0199999999999999E-2</v>
      </c>
      <c r="E1968">
        <v>-1.5689999999999999E-2</v>
      </c>
    </row>
    <row r="1969" spans="1:5" ht="14.25" customHeight="1">
      <c r="A1969" s="140">
        <v>43445</v>
      </c>
      <c r="B1969">
        <v>35150.01</v>
      </c>
      <c r="C1969">
        <v>412.9</v>
      </c>
      <c r="D1969">
        <v>5.4299999999999999E-3</v>
      </c>
      <c r="E1969">
        <v>2.0310000000000002E-2</v>
      </c>
    </row>
    <row r="1970" spans="1:5" ht="14.25" customHeight="1">
      <c r="A1970" s="140">
        <v>43446</v>
      </c>
      <c r="B1970">
        <v>35779.07</v>
      </c>
      <c r="C1970">
        <v>430.05</v>
      </c>
      <c r="D1970">
        <v>1.7739999999999999E-2</v>
      </c>
      <c r="E1970">
        <v>4.07E-2</v>
      </c>
    </row>
    <row r="1971" spans="1:5" ht="14.25" customHeight="1">
      <c r="A1971" s="140">
        <v>43447</v>
      </c>
      <c r="B1971">
        <v>35929.64</v>
      </c>
      <c r="C1971">
        <v>433.5</v>
      </c>
      <c r="D1971">
        <v>4.1999999999999997E-3</v>
      </c>
      <c r="E1971">
        <v>7.9900000000000006E-3</v>
      </c>
    </row>
    <row r="1972" spans="1:5" ht="14.25" customHeight="1">
      <c r="A1972" s="140">
        <v>43448</v>
      </c>
      <c r="B1972">
        <v>35962.93</v>
      </c>
      <c r="C1972">
        <v>442.4</v>
      </c>
      <c r="D1972">
        <v>9.3000000000000005E-4</v>
      </c>
      <c r="E1972">
        <v>2.0320000000000001E-2</v>
      </c>
    </row>
    <row r="1973" spans="1:5" ht="14.25" customHeight="1">
      <c r="A1973" s="140">
        <v>43451</v>
      </c>
      <c r="B1973">
        <v>36270.07</v>
      </c>
      <c r="C1973">
        <v>442.75</v>
      </c>
      <c r="D1973">
        <v>8.5000000000000006E-3</v>
      </c>
      <c r="E1973">
        <v>7.9000000000000001E-4</v>
      </c>
    </row>
    <row r="1974" spans="1:5" ht="14.25" customHeight="1">
      <c r="A1974" s="140">
        <v>43452</v>
      </c>
      <c r="B1974">
        <v>36347.08</v>
      </c>
      <c r="C1974">
        <v>443.05</v>
      </c>
      <c r="D1974">
        <v>2.1199999999999999E-3</v>
      </c>
      <c r="E1974">
        <v>6.8000000000000005E-4</v>
      </c>
    </row>
    <row r="1975" spans="1:5" ht="14.25" customHeight="1">
      <c r="A1975" s="140">
        <v>43453</v>
      </c>
      <c r="B1975">
        <v>36484.33</v>
      </c>
      <c r="C1975">
        <v>456.75</v>
      </c>
      <c r="D1975">
        <v>3.7699999999999999E-3</v>
      </c>
      <c r="E1975">
        <v>3.0450000000000001E-2</v>
      </c>
    </row>
    <row r="1976" spans="1:5" ht="14.25" customHeight="1">
      <c r="A1976" s="140">
        <v>43454</v>
      </c>
      <c r="B1976">
        <v>36431.67</v>
      </c>
      <c r="C1976">
        <v>443.5</v>
      </c>
      <c r="D1976">
        <v>-1.4400000000000001E-3</v>
      </c>
      <c r="E1976">
        <v>-2.9440000000000001E-2</v>
      </c>
    </row>
    <row r="1977" spans="1:5" ht="14.25" customHeight="1">
      <c r="A1977" s="140">
        <v>43455</v>
      </c>
      <c r="B1977">
        <v>35742.07</v>
      </c>
      <c r="C1977">
        <v>437.25</v>
      </c>
      <c r="D1977">
        <v>-1.9109999999999999E-2</v>
      </c>
      <c r="E1977">
        <v>-1.4189999999999999E-2</v>
      </c>
    </row>
    <row r="1978" spans="1:5" ht="14.25" customHeight="1">
      <c r="A1978" s="140">
        <v>43458</v>
      </c>
      <c r="B1978">
        <v>35470.15</v>
      </c>
      <c r="C1978">
        <v>426</v>
      </c>
      <c r="D1978">
        <v>-7.6400000000000001E-3</v>
      </c>
      <c r="E1978">
        <v>-2.6069999999999999E-2</v>
      </c>
    </row>
    <row r="1979" spans="1:5" ht="14.25" customHeight="1">
      <c r="A1979" s="140">
        <v>43460</v>
      </c>
      <c r="B1979">
        <v>35649.94</v>
      </c>
      <c r="C1979">
        <v>423.15</v>
      </c>
      <c r="D1979">
        <v>5.0600000000000003E-3</v>
      </c>
      <c r="E1979">
        <v>-6.7099999999999998E-3</v>
      </c>
    </row>
    <row r="1980" spans="1:5" ht="14.25" customHeight="1">
      <c r="A1980" s="140">
        <v>43461</v>
      </c>
      <c r="B1980">
        <v>35807.279999999999</v>
      </c>
      <c r="C1980">
        <v>429.75</v>
      </c>
      <c r="D1980">
        <v>4.4000000000000003E-3</v>
      </c>
      <c r="E1980">
        <v>1.5480000000000001E-2</v>
      </c>
    </row>
    <row r="1981" spans="1:5" ht="14.25" customHeight="1">
      <c r="A1981" s="140">
        <v>43462</v>
      </c>
      <c r="B1981">
        <v>36076.720000000001</v>
      </c>
      <c r="C1981">
        <v>433.9</v>
      </c>
      <c r="D1981">
        <v>7.4999999999999997E-3</v>
      </c>
      <c r="E1981">
        <v>9.6100000000000005E-3</v>
      </c>
    </row>
    <row r="1982" spans="1:5" ht="14.25" customHeight="1">
      <c r="A1982" s="140">
        <v>43465</v>
      </c>
      <c r="B1982">
        <v>36068.33</v>
      </c>
      <c r="C1982">
        <v>431</v>
      </c>
      <c r="D1982">
        <v>-2.3000000000000001E-4</v>
      </c>
      <c r="E1982">
        <v>-6.7099999999999998E-3</v>
      </c>
    </row>
    <row r="1983" spans="1:5" ht="14.25" customHeight="1">
      <c r="A1983" s="140">
        <v>43466</v>
      </c>
      <c r="B1983">
        <v>36254.57</v>
      </c>
      <c r="C1983">
        <v>422.55</v>
      </c>
      <c r="D1983">
        <v>5.1500000000000001E-3</v>
      </c>
      <c r="E1983">
        <v>-1.9800000000000002E-2</v>
      </c>
    </row>
    <row r="1984" spans="1:5" ht="14.25" customHeight="1">
      <c r="A1984" s="140">
        <v>43467</v>
      </c>
      <c r="B1984">
        <v>35891.519999999997</v>
      </c>
      <c r="C1984">
        <v>416</v>
      </c>
      <c r="D1984">
        <v>-1.0059999999999999E-2</v>
      </c>
      <c r="E1984">
        <v>-1.562E-2</v>
      </c>
    </row>
    <row r="1985" spans="1:5" ht="14.25" customHeight="1">
      <c r="A1985" s="140">
        <v>43468</v>
      </c>
      <c r="B1985">
        <v>35513.71</v>
      </c>
      <c r="C1985">
        <v>421.9</v>
      </c>
      <c r="D1985">
        <v>-1.0580000000000001E-2</v>
      </c>
      <c r="E1985">
        <v>1.4080000000000001E-2</v>
      </c>
    </row>
    <row r="1986" spans="1:5" ht="14.25" customHeight="1">
      <c r="A1986" s="140">
        <v>43469</v>
      </c>
      <c r="B1986">
        <v>35695.1</v>
      </c>
      <c r="C1986">
        <v>419.75</v>
      </c>
      <c r="D1986">
        <v>5.0899999999999999E-3</v>
      </c>
      <c r="E1986">
        <v>-5.11E-3</v>
      </c>
    </row>
    <row r="1987" spans="1:5" ht="14.25" customHeight="1">
      <c r="A1987" s="140">
        <v>43472</v>
      </c>
      <c r="B1987">
        <v>35850.160000000003</v>
      </c>
      <c r="C1987">
        <v>421</v>
      </c>
      <c r="D1987">
        <v>4.3299999999999996E-3</v>
      </c>
      <c r="E1987">
        <v>2.97E-3</v>
      </c>
    </row>
    <row r="1988" spans="1:5" ht="14.25" customHeight="1">
      <c r="A1988" s="140">
        <v>43473</v>
      </c>
      <c r="B1988">
        <v>35980.93</v>
      </c>
      <c r="C1988">
        <v>417.5</v>
      </c>
      <c r="D1988">
        <v>3.64E-3</v>
      </c>
      <c r="E1988">
        <v>-8.3499999999999998E-3</v>
      </c>
    </row>
    <row r="1989" spans="1:5" ht="14.25" customHeight="1">
      <c r="A1989" s="140">
        <v>43474</v>
      </c>
      <c r="B1989">
        <v>36212.910000000003</v>
      </c>
      <c r="C1989">
        <v>421.05</v>
      </c>
      <c r="D1989">
        <v>6.43E-3</v>
      </c>
      <c r="E1989">
        <v>8.4700000000000001E-3</v>
      </c>
    </row>
    <row r="1990" spans="1:5" ht="14.25" customHeight="1">
      <c r="A1990" s="140">
        <v>43475</v>
      </c>
      <c r="B1990">
        <v>36106.5</v>
      </c>
      <c r="C1990">
        <v>421.35</v>
      </c>
      <c r="D1990">
        <v>-2.9399999999999999E-3</v>
      </c>
      <c r="E1990">
        <v>7.1000000000000002E-4</v>
      </c>
    </row>
    <row r="1991" spans="1:5" ht="14.25" customHeight="1">
      <c r="A1991" s="140">
        <v>43476</v>
      </c>
      <c r="B1991">
        <v>36009.839999999997</v>
      </c>
      <c r="C1991">
        <v>421.85</v>
      </c>
      <c r="D1991">
        <v>-2.6800000000000001E-3</v>
      </c>
      <c r="E1991">
        <v>1.1900000000000001E-3</v>
      </c>
    </row>
    <row r="1992" spans="1:5" ht="14.25" customHeight="1">
      <c r="A1992" s="140">
        <v>43479</v>
      </c>
      <c r="B1992">
        <v>35853.56</v>
      </c>
      <c r="C1992">
        <v>433.45</v>
      </c>
      <c r="D1992">
        <v>-4.3499999999999997E-3</v>
      </c>
      <c r="E1992">
        <v>2.7130000000000001E-2</v>
      </c>
    </row>
    <row r="1993" spans="1:5" ht="14.25" customHeight="1">
      <c r="A1993" s="140">
        <v>43480</v>
      </c>
      <c r="B1993">
        <v>36318.33</v>
      </c>
      <c r="C1993">
        <v>426.4</v>
      </c>
      <c r="D1993">
        <v>1.2880000000000001E-2</v>
      </c>
      <c r="E1993">
        <v>-1.6400000000000001E-2</v>
      </c>
    </row>
    <row r="1994" spans="1:5" ht="14.25" customHeight="1">
      <c r="A1994" s="140">
        <v>43481</v>
      </c>
      <c r="B1994">
        <v>36321.29</v>
      </c>
      <c r="C1994">
        <v>423.8</v>
      </c>
      <c r="D1994">
        <v>8.0000000000000007E-5</v>
      </c>
      <c r="E1994">
        <v>-6.1199999999999996E-3</v>
      </c>
    </row>
    <row r="1995" spans="1:5" ht="14.25" customHeight="1">
      <c r="A1995" s="140">
        <v>43482</v>
      </c>
      <c r="B1995">
        <v>36374.080000000002</v>
      </c>
      <c r="C1995">
        <v>420.2</v>
      </c>
      <c r="D1995">
        <v>1.4499999999999999E-3</v>
      </c>
      <c r="E1995">
        <v>-8.5299999999999994E-3</v>
      </c>
    </row>
    <row r="1996" spans="1:5" ht="14.25" customHeight="1">
      <c r="A1996" s="140">
        <v>43483</v>
      </c>
      <c r="B1996">
        <v>36386.61</v>
      </c>
      <c r="C1996">
        <v>424.05</v>
      </c>
      <c r="D1996">
        <v>3.4000000000000002E-4</v>
      </c>
      <c r="E1996">
        <v>9.1199999999999996E-3</v>
      </c>
    </row>
    <row r="1997" spans="1:5" ht="14.25" customHeight="1">
      <c r="A1997" s="140">
        <v>43486</v>
      </c>
      <c r="B1997">
        <v>36578.959999999999</v>
      </c>
      <c r="C1997">
        <v>427.35</v>
      </c>
      <c r="D1997">
        <v>5.2700000000000004E-3</v>
      </c>
      <c r="E1997">
        <v>7.7499999999999999E-3</v>
      </c>
    </row>
    <row r="1998" spans="1:5" ht="14.25" customHeight="1">
      <c r="A1998" s="140">
        <v>43487</v>
      </c>
      <c r="B1998">
        <v>36444.639999999999</v>
      </c>
      <c r="C1998">
        <v>432.8</v>
      </c>
      <c r="D1998">
        <v>-3.6800000000000001E-3</v>
      </c>
      <c r="E1998">
        <v>1.2670000000000001E-2</v>
      </c>
    </row>
    <row r="1999" spans="1:5" ht="14.25" customHeight="1">
      <c r="A1999" s="140">
        <v>43488</v>
      </c>
      <c r="B1999">
        <v>36108.47</v>
      </c>
      <c r="C1999">
        <v>430.05</v>
      </c>
      <c r="D1999">
        <v>-9.2700000000000005E-3</v>
      </c>
      <c r="E1999">
        <v>-6.3699999999999998E-3</v>
      </c>
    </row>
    <row r="2000" spans="1:5" ht="14.25" customHeight="1">
      <c r="A2000" s="140">
        <v>43489</v>
      </c>
      <c r="B2000">
        <v>36195.1</v>
      </c>
      <c r="C2000">
        <v>430.25</v>
      </c>
      <c r="D2000">
        <v>2.3999999999999998E-3</v>
      </c>
      <c r="E2000">
        <v>4.6000000000000001E-4</v>
      </c>
    </row>
    <row r="2001" spans="1:5" ht="14.25" customHeight="1">
      <c r="A2001" s="140">
        <v>43490</v>
      </c>
      <c r="B2001">
        <v>36025.54</v>
      </c>
      <c r="C2001">
        <v>429.6</v>
      </c>
      <c r="D2001">
        <v>-4.7000000000000002E-3</v>
      </c>
      <c r="E2001">
        <v>-1.5100000000000001E-3</v>
      </c>
    </row>
    <row r="2002" spans="1:5" ht="14.25" customHeight="1">
      <c r="A2002" s="140">
        <v>43493</v>
      </c>
      <c r="B2002">
        <v>35656.699999999997</v>
      </c>
      <c r="C2002">
        <v>426.8</v>
      </c>
      <c r="D2002">
        <v>-1.0290000000000001E-2</v>
      </c>
      <c r="E2002">
        <v>-6.5399999999999998E-3</v>
      </c>
    </row>
    <row r="2003" spans="1:5" ht="14.25" customHeight="1">
      <c r="A2003" s="140">
        <v>43494</v>
      </c>
      <c r="B2003">
        <v>35592.5</v>
      </c>
      <c r="C2003">
        <v>424.25</v>
      </c>
      <c r="D2003">
        <v>-1.8E-3</v>
      </c>
      <c r="E2003">
        <v>-5.9899999999999997E-3</v>
      </c>
    </row>
    <row r="2004" spans="1:5" ht="14.25" customHeight="1">
      <c r="A2004" s="140">
        <v>43495</v>
      </c>
      <c r="B2004">
        <v>35591.25</v>
      </c>
      <c r="C2004">
        <v>430.85</v>
      </c>
      <c r="D2004">
        <v>-4.0000000000000003E-5</v>
      </c>
      <c r="E2004">
        <v>1.5440000000000001E-2</v>
      </c>
    </row>
    <row r="2005" spans="1:5" ht="14.25" customHeight="1">
      <c r="A2005" s="140">
        <v>43496</v>
      </c>
      <c r="B2005">
        <v>36256.69</v>
      </c>
      <c r="C2005">
        <v>443.25</v>
      </c>
      <c r="D2005">
        <v>1.8519999999999998E-2</v>
      </c>
      <c r="E2005">
        <v>2.8369999999999999E-2</v>
      </c>
    </row>
    <row r="2006" spans="1:5" ht="14.25" customHeight="1">
      <c r="A2006" s="140">
        <v>43497</v>
      </c>
      <c r="B2006">
        <v>36469.43</v>
      </c>
      <c r="C2006">
        <v>451.8</v>
      </c>
      <c r="D2006">
        <v>5.8500000000000002E-3</v>
      </c>
      <c r="E2006">
        <v>1.9109999999999999E-2</v>
      </c>
    </row>
    <row r="2007" spans="1:5" ht="14.25" customHeight="1">
      <c r="A2007" s="140">
        <v>43500</v>
      </c>
      <c r="B2007">
        <v>36582.74</v>
      </c>
      <c r="C2007">
        <v>447.25</v>
      </c>
      <c r="D2007">
        <v>3.0999999999999999E-3</v>
      </c>
      <c r="E2007">
        <v>-1.0120000000000001E-2</v>
      </c>
    </row>
    <row r="2008" spans="1:5" ht="14.25" customHeight="1">
      <c r="A2008" s="140">
        <v>43501</v>
      </c>
      <c r="B2008">
        <v>36616.81</v>
      </c>
      <c r="C2008">
        <v>447.75</v>
      </c>
      <c r="D2008">
        <v>9.3000000000000005E-4</v>
      </c>
      <c r="E2008">
        <v>1.1199999999999999E-3</v>
      </c>
    </row>
    <row r="2009" spans="1:5" ht="14.25" customHeight="1">
      <c r="A2009" s="140">
        <v>43502</v>
      </c>
      <c r="B2009">
        <v>36975.230000000003</v>
      </c>
      <c r="C2009">
        <v>452.8</v>
      </c>
      <c r="D2009">
        <v>9.7400000000000004E-3</v>
      </c>
      <c r="E2009">
        <v>1.1220000000000001E-2</v>
      </c>
    </row>
    <row r="2010" spans="1:5" ht="14.25" customHeight="1">
      <c r="A2010" s="140">
        <v>43503</v>
      </c>
      <c r="B2010">
        <v>36971.089999999997</v>
      </c>
      <c r="C2010">
        <v>458.75</v>
      </c>
      <c r="D2010">
        <v>-1.1E-4</v>
      </c>
      <c r="E2010">
        <v>1.3050000000000001E-2</v>
      </c>
    </row>
    <row r="2011" spans="1:5" ht="14.25" customHeight="1">
      <c r="A2011" s="140">
        <v>43504</v>
      </c>
      <c r="B2011">
        <v>36546.480000000003</v>
      </c>
      <c r="C2011">
        <v>451.1</v>
      </c>
      <c r="D2011">
        <v>-1.155E-2</v>
      </c>
      <c r="E2011">
        <v>-1.6820000000000002E-2</v>
      </c>
    </row>
    <row r="2012" spans="1:5" ht="14.25" customHeight="1">
      <c r="A2012" s="140">
        <v>43507</v>
      </c>
      <c r="B2012">
        <v>36395.03</v>
      </c>
      <c r="C2012">
        <v>448.55</v>
      </c>
      <c r="D2012">
        <v>-4.15E-3</v>
      </c>
      <c r="E2012">
        <v>-5.6699999999999997E-3</v>
      </c>
    </row>
    <row r="2013" spans="1:5" ht="14.25" customHeight="1">
      <c r="A2013" s="140">
        <v>43508</v>
      </c>
      <c r="B2013">
        <v>36153.620000000003</v>
      </c>
      <c r="C2013">
        <v>446.55</v>
      </c>
      <c r="D2013">
        <v>-6.6600000000000001E-3</v>
      </c>
      <c r="E2013">
        <v>-4.47E-3</v>
      </c>
    </row>
    <row r="2014" spans="1:5" ht="14.25" customHeight="1">
      <c r="A2014" s="140">
        <v>43509</v>
      </c>
      <c r="B2014">
        <v>36034.11</v>
      </c>
      <c r="C2014">
        <v>439.2</v>
      </c>
      <c r="D2014">
        <v>-3.31E-3</v>
      </c>
      <c r="E2014">
        <v>-1.66E-2</v>
      </c>
    </row>
    <row r="2015" spans="1:5" ht="14.25" customHeight="1">
      <c r="A2015" s="140">
        <v>43510</v>
      </c>
      <c r="B2015">
        <v>35876.22</v>
      </c>
      <c r="C2015">
        <v>440.45</v>
      </c>
      <c r="D2015">
        <v>-4.3899999999999998E-3</v>
      </c>
      <c r="E2015">
        <v>2.8400000000000001E-3</v>
      </c>
    </row>
    <row r="2016" spans="1:5" ht="14.25" customHeight="1">
      <c r="A2016" s="140">
        <v>43511</v>
      </c>
      <c r="B2016">
        <v>35808.949999999997</v>
      </c>
      <c r="C2016">
        <v>434.8</v>
      </c>
      <c r="D2016">
        <v>-1.8799999999999999E-3</v>
      </c>
      <c r="E2016">
        <v>-1.291E-2</v>
      </c>
    </row>
    <row r="2017" spans="1:5" ht="14.25" customHeight="1">
      <c r="A2017" s="140">
        <v>43514</v>
      </c>
      <c r="B2017">
        <v>35498.44</v>
      </c>
      <c r="C2017">
        <v>422.55</v>
      </c>
      <c r="D2017">
        <v>-8.7100000000000007E-3</v>
      </c>
      <c r="E2017">
        <v>-2.8580000000000001E-2</v>
      </c>
    </row>
    <row r="2018" spans="1:5" ht="14.25" customHeight="1">
      <c r="A2018" s="140">
        <v>43515</v>
      </c>
      <c r="B2018">
        <v>35352.61</v>
      </c>
      <c r="C2018">
        <v>420.95</v>
      </c>
      <c r="D2018">
        <v>-4.1200000000000004E-3</v>
      </c>
      <c r="E2018">
        <v>-3.79E-3</v>
      </c>
    </row>
    <row r="2019" spans="1:5" ht="14.25" customHeight="1">
      <c r="A2019" s="140">
        <v>43516</v>
      </c>
      <c r="B2019">
        <v>35756.26</v>
      </c>
      <c r="C2019">
        <v>424.9</v>
      </c>
      <c r="D2019">
        <v>1.1350000000000001E-2</v>
      </c>
      <c r="E2019">
        <v>9.3399999999999993E-3</v>
      </c>
    </row>
    <row r="2020" spans="1:5" ht="14.25" customHeight="1">
      <c r="A2020" s="140">
        <v>43517</v>
      </c>
      <c r="B2020">
        <v>35898.35</v>
      </c>
      <c r="C2020">
        <v>426.65</v>
      </c>
      <c r="D2020">
        <v>3.9699999999999996E-3</v>
      </c>
      <c r="E2020">
        <v>4.1099999999999999E-3</v>
      </c>
    </row>
    <row r="2021" spans="1:5" ht="14.25" customHeight="1">
      <c r="A2021" s="140">
        <v>43518</v>
      </c>
      <c r="B2021">
        <v>35871.480000000003</v>
      </c>
      <c r="C2021">
        <v>434.2</v>
      </c>
      <c r="D2021">
        <v>-7.5000000000000002E-4</v>
      </c>
      <c r="E2021">
        <v>1.754E-2</v>
      </c>
    </row>
    <row r="2022" spans="1:5" ht="14.25" customHeight="1">
      <c r="A2022" s="140">
        <v>43521</v>
      </c>
      <c r="B2022">
        <v>36213.379999999997</v>
      </c>
      <c r="C2022">
        <v>431.8</v>
      </c>
      <c r="D2022">
        <v>9.4900000000000002E-3</v>
      </c>
      <c r="E2022">
        <v>-5.5399999999999998E-3</v>
      </c>
    </row>
    <row r="2023" spans="1:5" ht="14.25" customHeight="1">
      <c r="A2023" s="140">
        <v>43522</v>
      </c>
      <c r="B2023">
        <v>35973.71</v>
      </c>
      <c r="C2023">
        <v>428.55</v>
      </c>
      <c r="D2023">
        <v>-6.6400000000000001E-3</v>
      </c>
      <c r="E2023">
        <v>-7.5599999999999999E-3</v>
      </c>
    </row>
    <row r="2024" spans="1:5" ht="14.25" customHeight="1">
      <c r="A2024" s="140">
        <v>43523</v>
      </c>
      <c r="B2024">
        <v>35905.43</v>
      </c>
      <c r="C2024">
        <v>433.4</v>
      </c>
      <c r="D2024">
        <v>-1.9E-3</v>
      </c>
      <c r="E2024">
        <v>1.125E-2</v>
      </c>
    </row>
    <row r="2025" spans="1:5" ht="14.25" customHeight="1">
      <c r="A2025" s="140">
        <v>43524</v>
      </c>
      <c r="B2025">
        <v>35867.440000000002</v>
      </c>
      <c r="C2025">
        <v>438.5</v>
      </c>
      <c r="D2025">
        <v>-1.06E-3</v>
      </c>
      <c r="E2025">
        <v>1.17E-2</v>
      </c>
    </row>
    <row r="2026" spans="1:5" ht="14.25" customHeight="1">
      <c r="A2026" s="140">
        <v>43525</v>
      </c>
      <c r="B2026">
        <v>36063.81</v>
      </c>
      <c r="C2026">
        <v>445.2</v>
      </c>
      <c r="D2026">
        <v>5.4599999999999996E-3</v>
      </c>
      <c r="E2026">
        <v>1.516E-2</v>
      </c>
    </row>
    <row r="2027" spans="1:5" ht="14.25" customHeight="1">
      <c r="A2027" s="140">
        <v>43529</v>
      </c>
      <c r="B2027">
        <v>36442.54</v>
      </c>
      <c r="C2027">
        <v>442.8</v>
      </c>
      <c r="D2027">
        <v>1.0449999999999999E-2</v>
      </c>
      <c r="E2027">
        <v>-5.4099999999999999E-3</v>
      </c>
    </row>
    <row r="2028" spans="1:5" ht="14.25" customHeight="1">
      <c r="A2028" s="140">
        <v>43530</v>
      </c>
      <c r="B2028">
        <v>36636.1</v>
      </c>
      <c r="C2028">
        <v>436.65</v>
      </c>
      <c r="D2028">
        <v>5.3E-3</v>
      </c>
      <c r="E2028">
        <v>-1.3990000000000001E-2</v>
      </c>
    </row>
    <row r="2029" spans="1:5" ht="14.25" customHeight="1">
      <c r="A2029" s="140">
        <v>43531</v>
      </c>
      <c r="B2029">
        <v>36725.42</v>
      </c>
      <c r="C2029">
        <v>432.95</v>
      </c>
      <c r="D2029">
        <v>2.4399999999999999E-3</v>
      </c>
      <c r="E2029">
        <v>-8.5100000000000002E-3</v>
      </c>
    </row>
    <row r="2030" spans="1:5" ht="14.25" customHeight="1">
      <c r="A2030" s="140">
        <v>43532</v>
      </c>
      <c r="B2030">
        <v>36671.43</v>
      </c>
      <c r="C2030">
        <v>432.5</v>
      </c>
      <c r="D2030">
        <v>-1.47E-3</v>
      </c>
      <c r="E2030">
        <v>-1.0399999999999999E-3</v>
      </c>
    </row>
    <row r="2031" spans="1:5" ht="14.25" customHeight="1">
      <c r="A2031" s="140">
        <v>43535</v>
      </c>
      <c r="B2031">
        <v>37054.1</v>
      </c>
      <c r="C2031">
        <v>442.05</v>
      </c>
      <c r="D2031">
        <v>1.038E-2</v>
      </c>
      <c r="E2031">
        <v>2.1839999999999998E-2</v>
      </c>
    </row>
    <row r="2032" spans="1:5" ht="14.25" customHeight="1">
      <c r="A2032" s="140">
        <v>43536</v>
      </c>
      <c r="B2032">
        <v>37535.660000000003</v>
      </c>
      <c r="C2032">
        <v>446.05</v>
      </c>
      <c r="D2032">
        <v>1.291E-2</v>
      </c>
      <c r="E2032">
        <v>9.0100000000000006E-3</v>
      </c>
    </row>
    <row r="2033" spans="1:5" ht="14.25" customHeight="1">
      <c r="A2033" s="140">
        <v>43537</v>
      </c>
      <c r="B2033">
        <v>37752.17</v>
      </c>
      <c r="C2033">
        <v>441</v>
      </c>
      <c r="D2033">
        <v>5.7499999999999999E-3</v>
      </c>
      <c r="E2033">
        <v>-1.1390000000000001E-2</v>
      </c>
    </row>
    <row r="2034" spans="1:5" ht="14.25" customHeight="1">
      <c r="A2034" s="140">
        <v>43538</v>
      </c>
      <c r="B2034">
        <v>37754.89</v>
      </c>
      <c r="C2034">
        <v>438.95</v>
      </c>
      <c r="D2034">
        <v>6.9999999999999994E-5</v>
      </c>
      <c r="E2034">
        <v>-4.6600000000000001E-3</v>
      </c>
    </row>
    <row r="2035" spans="1:5" ht="14.25" customHeight="1">
      <c r="A2035" s="140">
        <v>43539</v>
      </c>
      <c r="B2035">
        <v>38024.32</v>
      </c>
      <c r="C2035">
        <v>425.35</v>
      </c>
      <c r="D2035">
        <v>7.11E-3</v>
      </c>
      <c r="E2035">
        <v>-3.1469999999999998E-2</v>
      </c>
    </row>
    <row r="2036" spans="1:5" ht="14.25" customHeight="1">
      <c r="A2036" s="140">
        <v>43542</v>
      </c>
      <c r="B2036">
        <v>38095.07</v>
      </c>
      <c r="C2036">
        <v>428.9</v>
      </c>
      <c r="D2036">
        <v>1.8600000000000001E-3</v>
      </c>
      <c r="E2036">
        <v>8.3099999999999997E-3</v>
      </c>
    </row>
    <row r="2037" spans="1:5" ht="14.25" customHeight="1">
      <c r="A2037" s="140">
        <v>43543</v>
      </c>
      <c r="B2037">
        <v>38363.47</v>
      </c>
      <c r="C2037">
        <v>426.7</v>
      </c>
      <c r="D2037">
        <v>7.0200000000000002E-3</v>
      </c>
      <c r="E2037">
        <v>-5.1399999999999996E-3</v>
      </c>
    </row>
    <row r="2038" spans="1:5" ht="14.25" customHeight="1">
      <c r="A2038" s="140">
        <v>43544</v>
      </c>
      <c r="B2038">
        <v>38386.75</v>
      </c>
      <c r="C2038">
        <v>426.05</v>
      </c>
      <c r="D2038">
        <v>6.0999999999999997E-4</v>
      </c>
      <c r="E2038">
        <v>-1.5200000000000001E-3</v>
      </c>
    </row>
    <row r="2039" spans="1:5" ht="14.25" customHeight="1">
      <c r="A2039" s="140">
        <v>43546</v>
      </c>
      <c r="B2039">
        <v>38164.61</v>
      </c>
      <c r="C2039">
        <v>424.95</v>
      </c>
      <c r="D2039">
        <v>-5.7999999999999996E-3</v>
      </c>
      <c r="E2039">
        <v>-2.5899999999999999E-3</v>
      </c>
    </row>
    <row r="2040" spans="1:5" ht="14.25" customHeight="1">
      <c r="A2040" s="140">
        <v>43549</v>
      </c>
      <c r="B2040">
        <v>37808.910000000003</v>
      </c>
      <c r="C2040">
        <v>420.1</v>
      </c>
      <c r="D2040">
        <v>-9.3600000000000003E-3</v>
      </c>
      <c r="E2040">
        <v>-1.1480000000000001E-2</v>
      </c>
    </row>
    <row r="2041" spans="1:5" ht="14.25" customHeight="1">
      <c r="A2041" s="140">
        <v>43550</v>
      </c>
      <c r="B2041">
        <v>38233.410000000003</v>
      </c>
      <c r="C2041">
        <v>424.55</v>
      </c>
      <c r="D2041">
        <v>1.116E-2</v>
      </c>
      <c r="E2041">
        <v>1.0540000000000001E-2</v>
      </c>
    </row>
    <row r="2042" spans="1:5" ht="14.25" customHeight="1">
      <c r="A2042" s="140">
        <v>43551</v>
      </c>
      <c r="B2042">
        <v>38132.879999999997</v>
      </c>
      <c r="C2042">
        <v>412.25</v>
      </c>
      <c r="D2042">
        <v>-2.63E-3</v>
      </c>
      <c r="E2042">
        <v>-2.9399999999999999E-2</v>
      </c>
    </row>
    <row r="2043" spans="1:5" ht="14.25" customHeight="1">
      <c r="A2043" s="140">
        <v>43552</v>
      </c>
      <c r="B2043">
        <v>38545.72</v>
      </c>
      <c r="C2043">
        <v>412.05</v>
      </c>
      <c r="D2043">
        <v>1.077E-2</v>
      </c>
      <c r="E2043">
        <v>-4.8999999999999998E-4</v>
      </c>
    </row>
    <row r="2044" spans="1:5" ht="14.25" customHeight="1">
      <c r="A2044" s="140">
        <v>43553</v>
      </c>
      <c r="B2044">
        <v>38672.910000000003</v>
      </c>
      <c r="C2044">
        <v>409.05</v>
      </c>
      <c r="D2044">
        <v>3.29E-3</v>
      </c>
      <c r="E2044">
        <v>-7.3099999999999997E-3</v>
      </c>
    </row>
    <row r="2045" spans="1:5" ht="14.25" customHeight="1">
      <c r="A2045" s="140">
        <v>43556</v>
      </c>
      <c r="B2045">
        <v>38871.870000000003</v>
      </c>
      <c r="C2045">
        <v>401.85</v>
      </c>
      <c r="D2045">
        <v>5.13E-3</v>
      </c>
      <c r="E2045">
        <v>-1.7760000000000001E-2</v>
      </c>
    </row>
    <row r="2046" spans="1:5" ht="14.25" customHeight="1">
      <c r="A2046" s="140">
        <v>43557</v>
      </c>
      <c r="B2046">
        <v>39056.65</v>
      </c>
      <c r="C2046">
        <v>402.65</v>
      </c>
      <c r="D2046">
        <v>4.7400000000000003E-3</v>
      </c>
      <c r="E2046">
        <v>1.99E-3</v>
      </c>
    </row>
    <row r="2047" spans="1:5" ht="14.25" customHeight="1">
      <c r="A2047" s="140">
        <v>43558</v>
      </c>
      <c r="B2047">
        <v>38877.120000000003</v>
      </c>
      <c r="C2047">
        <v>403.2</v>
      </c>
      <c r="D2047">
        <v>-4.6100000000000004E-3</v>
      </c>
      <c r="E2047">
        <v>1.3699999999999999E-3</v>
      </c>
    </row>
    <row r="2048" spans="1:5" ht="14.25" customHeight="1">
      <c r="A2048" s="140">
        <v>43559</v>
      </c>
      <c r="B2048">
        <v>38684.720000000001</v>
      </c>
      <c r="C2048">
        <v>405.75</v>
      </c>
      <c r="D2048">
        <v>-4.96E-3</v>
      </c>
      <c r="E2048">
        <v>6.3E-3</v>
      </c>
    </row>
    <row r="2049" spans="1:5" ht="14.25" customHeight="1">
      <c r="A2049" s="140">
        <v>43560</v>
      </c>
      <c r="B2049">
        <v>38862.230000000003</v>
      </c>
      <c r="C2049">
        <v>401</v>
      </c>
      <c r="D2049">
        <v>4.5799999999999999E-3</v>
      </c>
      <c r="E2049">
        <v>-1.1780000000000001E-2</v>
      </c>
    </row>
    <row r="2050" spans="1:5" ht="14.25" customHeight="1">
      <c r="A2050" s="140">
        <v>43563</v>
      </c>
      <c r="B2050">
        <v>38700.53</v>
      </c>
      <c r="C2050">
        <v>401.95</v>
      </c>
      <c r="D2050">
        <v>-4.1700000000000001E-3</v>
      </c>
      <c r="E2050">
        <v>2.3700000000000001E-3</v>
      </c>
    </row>
    <row r="2051" spans="1:5" ht="14.25" customHeight="1">
      <c r="A2051" s="140">
        <v>43564</v>
      </c>
      <c r="B2051">
        <v>38939.22</v>
      </c>
      <c r="C2051">
        <v>403.45</v>
      </c>
      <c r="D2051">
        <v>6.1500000000000001E-3</v>
      </c>
      <c r="E2051">
        <v>3.7200000000000002E-3</v>
      </c>
    </row>
    <row r="2052" spans="1:5" ht="14.25" customHeight="1">
      <c r="A2052" s="140">
        <v>43565</v>
      </c>
      <c r="B2052">
        <v>38585.35</v>
      </c>
      <c r="C2052">
        <v>403</v>
      </c>
      <c r="D2052">
        <v>-9.1299999999999992E-3</v>
      </c>
      <c r="E2052">
        <v>-1.1199999999999999E-3</v>
      </c>
    </row>
    <row r="2053" spans="1:5" ht="14.25" customHeight="1">
      <c r="A2053" s="140">
        <v>43566</v>
      </c>
      <c r="B2053">
        <v>38607.01</v>
      </c>
      <c r="C2053">
        <v>403.55</v>
      </c>
      <c r="D2053">
        <v>5.5999999999999995E-4</v>
      </c>
      <c r="E2053">
        <v>1.3600000000000001E-3</v>
      </c>
    </row>
    <row r="2054" spans="1:5" ht="14.25" customHeight="1">
      <c r="A2054" s="140">
        <v>43567</v>
      </c>
      <c r="B2054">
        <v>38767.11</v>
      </c>
      <c r="C2054">
        <v>406.8</v>
      </c>
      <c r="D2054">
        <v>4.1399999999999996E-3</v>
      </c>
      <c r="E2054">
        <v>8.0199999999999994E-3</v>
      </c>
    </row>
    <row r="2055" spans="1:5" ht="14.25" customHeight="1">
      <c r="A2055" s="140">
        <v>43570</v>
      </c>
      <c r="B2055">
        <v>38905.839999999997</v>
      </c>
      <c r="C2055">
        <v>406.6</v>
      </c>
      <c r="D2055">
        <v>3.5699999999999998E-3</v>
      </c>
      <c r="E2055">
        <v>-4.8999999999999998E-4</v>
      </c>
    </row>
    <row r="2056" spans="1:5" ht="14.25" customHeight="1">
      <c r="A2056" s="140">
        <v>43571</v>
      </c>
      <c r="B2056">
        <v>39275.64</v>
      </c>
      <c r="C2056">
        <v>409.35</v>
      </c>
      <c r="D2056">
        <v>9.4599999999999997E-3</v>
      </c>
      <c r="E2056">
        <v>6.7400000000000003E-3</v>
      </c>
    </row>
    <row r="2057" spans="1:5" ht="14.25" customHeight="1">
      <c r="A2057" s="140">
        <v>43573</v>
      </c>
      <c r="B2057">
        <v>39140.28</v>
      </c>
      <c r="C2057">
        <v>404.8</v>
      </c>
      <c r="D2057">
        <v>-3.4499999999999999E-3</v>
      </c>
      <c r="E2057">
        <v>-1.1180000000000001E-2</v>
      </c>
    </row>
    <row r="2058" spans="1:5" ht="14.25" customHeight="1">
      <c r="A2058" s="140">
        <v>43577</v>
      </c>
      <c r="B2058">
        <v>38645.18</v>
      </c>
      <c r="C2058">
        <v>403.5</v>
      </c>
      <c r="D2058">
        <v>-1.273E-2</v>
      </c>
      <c r="E2058">
        <v>-3.2200000000000002E-3</v>
      </c>
    </row>
    <row r="2059" spans="1:5" ht="14.25" customHeight="1">
      <c r="A2059" s="140">
        <v>43578</v>
      </c>
      <c r="B2059">
        <v>38564.879999999997</v>
      </c>
      <c r="C2059">
        <v>403.4</v>
      </c>
      <c r="D2059">
        <v>-2.0799999999999998E-3</v>
      </c>
      <c r="E2059">
        <v>-2.5000000000000001E-4</v>
      </c>
    </row>
    <row r="2060" spans="1:5" ht="14.25" customHeight="1">
      <c r="A2060" s="140">
        <v>43579</v>
      </c>
      <c r="B2060">
        <v>39054.68</v>
      </c>
      <c r="C2060">
        <v>398.75</v>
      </c>
      <c r="D2060">
        <v>1.2619999999999999E-2</v>
      </c>
      <c r="E2060">
        <v>-1.159E-2</v>
      </c>
    </row>
    <row r="2061" spans="1:5" ht="14.25" customHeight="1">
      <c r="A2061" s="140">
        <v>43580</v>
      </c>
      <c r="B2061">
        <v>38730.86</v>
      </c>
      <c r="C2061">
        <v>395.45</v>
      </c>
      <c r="D2061">
        <v>-8.3300000000000006E-3</v>
      </c>
      <c r="E2061">
        <v>-8.3099999999999997E-3</v>
      </c>
    </row>
    <row r="2062" spans="1:5" ht="14.25" customHeight="1">
      <c r="A2062" s="140">
        <v>43581</v>
      </c>
      <c r="B2062">
        <v>39067.33</v>
      </c>
      <c r="C2062">
        <v>398.1</v>
      </c>
      <c r="D2062">
        <v>8.6499999999999997E-3</v>
      </c>
      <c r="E2062">
        <v>6.6800000000000002E-3</v>
      </c>
    </row>
    <row r="2063" spans="1:5" ht="14.25" customHeight="1">
      <c r="A2063" s="140">
        <v>43585</v>
      </c>
      <c r="B2063">
        <v>39031.550000000003</v>
      </c>
      <c r="C2063">
        <v>398</v>
      </c>
      <c r="D2063">
        <v>-9.2000000000000003E-4</v>
      </c>
      <c r="E2063">
        <v>-2.5000000000000001E-4</v>
      </c>
    </row>
    <row r="2064" spans="1:5" ht="14.25" customHeight="1">
      <c r="A2064" s="140">
        <v>43587</v>
      </c>
      <c r="B2064">
        <v>38981.43</v>
      </c>
      <c r="C2064">
        <v>382.45</v>
      </c>
      <c r="D2064">
        <v>-1.2800000000000001E-3</v>
      </c>
      <c r="E2064">
        <v>-3.9849999999999997E-2</v>
      </c>
    </row>
    <row r="2065" spans="1:5" ht="14.25" customHeight="1">
      <c r="A2065" s="140">
        <v>43588</v>
      </c>
      <c r="B2065">
        <v>38963.26</v>
      </c>
      <c r="C2065">
        <v>381.25</v>
      </c>
      <c r="D2065">
        <v>-4.6999999999999999E-4</v>
      </c>
      <c r="E2065">
        <v>-3.14E-3</v>
      </c>
    </row>
    <row r="2066" spans="1:5" ht="14.25" customHeight="1">
      <c r="A2066" s="140">
        <v>43591</v>
      </c>
      <c r="B2066">
        <v>38600.339999999997</v>
      </c>
      <c r="C2066">
        <v>377.95</v>
      </c>
      <c r="D2066">
        <v>-9.3600000000000003E-3</v>
      </c>
      <c r="E2066">
        <v>-8.6899999999999998E-3</v>
      </c>
    </row>
    <row r="2067" spans="1:5" ht="14.25" customHeight="1">
      <c r="A2067" s="140">
        <v>43592</v>
      </c>
      <c r="B2067">
        <v>38276.629999999997</v>
      </c>
      <c r="C2067">
        <v>375.4</v>
      </c>
      <c r="D2067">
        <v>-8.4200000000000004E-3</v>
      </c>
      <c r="E2067">
        <v>-6.77E-3</v>
      </c>
    </row>
    <row r="2068" spans="1:5" ht="14.25" customHeight="1">
      <c r="A2068" s="140">
        <v>43593</v>
      </c>
      <c r="B2068">
        <v>37789.129999999997</v>
      </c>
      <c r="C2068">
        <v>367.25</v>
      </c>
      <c r="D2068">
        <v>-1.282E-2</v>
      </c>
      <c r="E2068">
        <v>-2.1950000000000001E-2</v>
      </c>
    </row>
    <row r="2069" spans="1:5" ht="14.25" customHeight="1">
      <c r="A2069" s="140">
        <v>43594</v>
      </c>
      <c r="B2069">
        <v>37558.910000000003</v>
      </c>
      <c r="C2069">
        <v>367.3</v>
      </c>
      <c r="D2069">
        <v>-6.11E-3</v>
      </c>
      <c r="E2069">
        <v>1.3999999999999999E-4</v>
      </c>
    </row>
    <row r="2070" spans="1:5" ht="14.25" customHeight="1">
      <c r="A2070" s="140">
        <v>43595</v>
      </c>
      <c r="B2070">
        <v>37462.99</v>
      </c>
      <c r="C2070">
        <v>369.9</v>
      </c>
      <c r="D2070">
        <v>-2.5600000000000002E-3</v>
      </c>
      <c r="E2070">
        <v>7.0499999999999998E-3</v>
      </c>
    </row>
    <row r="2071" spans="1:5" ht="14.25" customHeight="1">
      <c r="A2071" s="140">
        <v>43598</v>
      </c>
      <c r="B2071">
        <v>37090.82</v>
      </c>
      <c r="C2071">
        <v>363.15</v>
      </c>
      <c r="D2071">
        <v>-9.9799999999999993E-3</v>
      </c>
      <c r="E2071">
        <v>-1.8419999999999999E-2</v>
      </c>
    </row>
    <row r="2072" spans="1:5" ht="14.25" customHeight="1">
      <c r="A2072" s="140">
        <v>43599</v>
      </c>
      <c r="B2072">
        <v>37318.53</v>
      </c>
      <c r="C2072">
        <v>368.5</v>
      </c>
      <c r="D2072">
        <v>6.1199999999999996E-3</v>
      </c>
      <c r="E2072">
        <v>1.4619999999999999E-2</v>
      </c>
    </row>
    <row r="2073" spans="1:5" ht="14.25" customHeight="1">
      <c r="A2073" s="140">
        <v>43600</v>
      </c>
      <c r="B2073">
        <v>37114.879999999997</v>
      </c>
      <c r="C2073">
        <v>362.9</v>
      </c>
      <c r="D2073">
        <v>-5.47E-3</v>
      </c>
      <c r="E2073">
        <v>-1.5310000000000001E-2</v>
      </c>
    </row>
    <row r="2074" spans="1:5" ht="14.25" customHeight="1">
      <c r="A2074" s="140">
        <v>43601</v>
      </c>
      <c r="B2074">
        <v>37393.480000000003</v>
      </c>
      <c r="C2074">
        <v>361.9</v>
      </c>
      <c r="D2074">
        <v>7.4799999999999997E-3</v>
      </c>
      <c r="E2074">
        <v>-2.7599999999999999E-3</v>
      </c>
    </row>
    <row r="2075" spans="1:5" ht="14.25" customHeight="1">
      <c r="A2075" s="140">
        <v>43602</v>
      </c>
      <c r="B2075">
        <v>37930.769999999997</v>
      </c>
      <c r="C2075">
        <v>370.25</v>
      </c>
      <c r="D2075">
        <v>1.427E-2</v>
      </c>
      <c r="E2075">
        <v>2.281E-2</v>
      </c>
    </row>
    <row r="2076" spans="1:5" ht="14.25" customHeight="1">
      <c r="A2076" s="140">
        <v>43605</v>
      </c>
      <c r="B2076">
        <v>39352.67</v>
      </c>
      <c r="C2076">
        <v>382.9</v>
      </c>
      <c r="D2076">
        <v>3.6799999999999999E-2</v>
      </c>
      <c r="E2076">
        <v>3.3599999999999998E-2</v>
      </c>
    </row>
    <row r="2077" spans="1:5" ht="14.25" customHeight="1">
      <c r="A2077" s="140">
        <v>43606</v>
      </c>
      <c r="B2077">
        <v>38969.800000000003</v>
      </c>
      <c r="C2077">
        <v>382.8</v>
      </c>
      <c r="D2077">
        <v>-9.7800000000000005E-3</v>
      </c>
      <c r="E2077">
        <v>-2.5999999999999998E-4</v>
      </c>
    </row>
    <row r="2078" spans="1:5" ht="14.25" customHeight="1">
      <c r="A2078" s="140">
        <v>43607</v>
      </c>
      <c r="B2078">
        <v>39110.21</v>
      </c>
      <c r="C2078">
        <v>385.15</v>
      </c>
      <c r="D2078">
        <v>3.5999999999999999E-3</v>
      </c>
      <c r="E2078">
        <v>6.1199999999999996E-3</v>
      </c>
    </row>
    <row r="2079" spans="1:5" ht="14.25" customHeight="1">
      <c r="A2079" s="140">
        <v>43608</v>
      </c>
      <c r="B2079">
        <v>38811.39</v>
      </c>
      <c r="C2079">
        <v>385.7</v>
      </c>
      <c r="D2079">
        <v>-7.6699999999999997E-3</v>
      </c>
      <c r="E2079">
        <v>1.4300000000000001E-3</v>
      </c>
    </row>
    <row r="2080" spans="1:5" ht="14.25" customHeight="1">
      <c r="A2080" s="140">
        <v>43609</v>
      </c>
      <c r="B2080">
        <v>39434.720000000001</v>
      </c>
      <c r="C2080">
        <v>399.2</v>
      </c>
      <c r="D2080">
        <v>1.593E-2</v>
      </c>
      <c r="E2080">
        <v>3.44E-2</v>
      </c>
    </row>
    <row r="2081" spans="1:5" ht="14.25" customHeight="1">
      <c r="A2081" s="140">
        <v>43612</v>
      </c>
      <c r="B2081">
        <v>39683.29</v>
      </c>
      <c r="C2081">
        <v>399.75</v>
      </c>
      <c r="D2081">
        <v>6.28E-3</v>
      </c>
      <c r="E2081">
        <v>1.3799999999999999E-3</v>
      </c>
    </row>
    <row r="2082" spans="1:5" ht="14.25" customHeight="1">
      <c r="A2082" s="140">
        <v>43613</v>
      </c>
      <c r="B2082">
        <v>39749.730000000003</v>
      </c>
      <c r="C2082">
        <v>399.1</v>
      </c>
      <c r="D2082">
        <v>1.67E-3</v>
      </c>
      <c r="E2082">
        <v>-1.6299999999999999E-3</v>
      </c>
    </row>
    <row r="2083" spans="1:5" ht="14.25" customHeight="1">
      <c r="A2083" s="140">
        <v>43614</v>
      </c>
      <c r="B2083">
        <v>39502.050000000003</v>
      </c>
      <c r="C2083">
        <v>398.65</v>
      </c>
      <c r="D2083">
        <v>-6.2500000000000003E-3</v>
      </c>
      <c r="E2083">
        <v>-1.1299999999999999E-3</v>
      </c>
    </row>
    <row r="2084" spans="1:5" ht="14.25" customHeight="1">
      <c r="A2084" s="140">
        <v>43615</v>
      </c>
      <c r="B2084">
        <v>39831.97</v>
      </c>
      <c r="C2084">
        <v>396</v>
      </c>
      <c r="D2084">
        <v>8.3199999999999993E-3</v>
      </c>
      <c r="E2084">
        <v>-6.6699999999999997E-3</v>
      </c>
    </row>
    <row r="2085" spans="1:5" ht="14.25" customHeight="1">
      <c r="A2085" s="140">
        <v>43616</v>
      </c>
      <c r="B2085">
        <v>39714.199999999997</v>
      </c>
      <c r="C2085">
        <v>396.9</v>
      </c>
      <c r="D2085">
        <v>-2.96E-3</v>
      </c>
      <c r="E2085">
        <v>2.2699999999999999E-3</v>
      </c>
    </row>
    <row r="2086" spans="1:5" ht="14.25" customHeight="1">
      <c r="A2086" s="140">
        <v>43619</v>
      </c>
      <c r="B2086">
        <v>40267.620000000003</v>
      </c>
      <c r="C2086">
        <v>408.55</v>
      </c>
      <c r="D2086">
        <v>1.384E-2</v>
      </c>
      <c r="E2086">
        <v>2.8930000000000001E-2</v>
      </c>
    </row>
    <row r="2087" spans="1:5" ht="14.25" customHeight="1">
      <c r="A2087" s="140">
        <v>43620</v>
      </c>
      <c r="B2087">
        <v>40083.54</v>
      </c>
      <c r="C2087">
        <v>405.05</v>
      </c>
      <c r="D2087">
        <v>-4.5799999999999999E-3</v>
      </c>
      <c r="E2087">
        <v>-8.6E-3</v>
      </c>
    </row>
    <row r="2088" spans="1:5" ht="14.25" customHeight="1">
      <c r="A2088" s="140">
        <v>43622</v>
      </c>
      <c r="B2088">
        <v>39529.72</v>
      </c>
      <c r="C2088">
        <v>403.65</v>
      </c>
      <c r="D2088">
        <v>-1.391E-2</v>
      </c>
      <c r="E2088">
        <v>-3.46E-3</v>
      </c>
    </row>
    <row r="2089" spans="1:5" ht="14.25" customHeight="1">
      <c r="A2089" s="140">
        <v>43623</v>
      </c>
      <c r="B2089">
        <v>39615.9</v>
      </c>
      <c r="C2089">
        <v>404.7</v>
      </c>
      <c r="D2089">
        <v>2.1800000000000001E-3</v>
      </c>
      <c r="E2089">
        <v>2.5999999999999999E-3</v>
      </c>
    </row>
    <row r="2090" spans="1:5" ht="14.25" customHeight="1">
      <c r="A2090" s="140">
        <v>43626</v>
      </c>
      <c r="B2090">
        <v>39784.519999999997</v>
      </c>
      <c r="C2090">
        <v>408</v>
      </c>
      <c r="D2090">
        <v>4.2500000000000003E-3</v>
      </c>
      <c r="E2090">
        <v>8.1200000000000005E-3</v>
      </c>
    </row>
    <row r="2091" spans="1:5" ht="14.25" customHeight="1">
      <c r="A2091" s="140">
        <v>43627</v>
      </c>
      <c r="B2091">
        <v>39950.46</v>
      </c>
      <c r="C2091">
        <v>409.65</v>
      </c>
      <c r="D2091">
        <v>4.1599999999999996E-3</v>
      </c>
      <c r="E2091">
        <v>4.0400000000000002E-3</v>
      </c>
    </row>
    <row r="2092" spans="1:5" ht="14.25" customHeight="1">
      <c r="A2092" s="140">
        <v>43628</v>
      </c>
      <c r="B2092">
        <v>39756.81</v>
      </c>
      <c r="C2092">
        <v>408.65</v>
      </c>
      <c r="D2092">
        <v>-4.8599999999999997E-3</v>
      </c>
      <c r="E2092">
        <v>-2.4399999999999999E-3</v>
      </c>
    </row>
    <row r="2093" spans="1:5" ht="14.25" customHeight="1">
      <c r="A2093" s="140">
        <v>43629</v>
      </c>
      <c r="B2093">
        <v>39741.360000000001</v>
      </c>
      <c r="C2093">
        <v>408.55</v>
      </c>
      <c r="D2093">
        <v>-3.8999999999999999E-4</v>
      </c>
      <c r="E2093">
        <v>-2.4000000000000001E-4</v>
      </c>
    </row>
    <row r="2094" spans="1:5" ht="14.25" customHeight="1">
      <c r="A2094" s="140">
        <v>43630</v>
      </c>
      <c r="B2094">
        <v>39452.07</v>
      </c>
      <c r="C2094">
        <v>400.95</v>
      </c>
      <c r="D2094">
        <v>-7.3099999999999997E-3</v>
      </c>
      <c r="E2094">
        <v>-1.8780000000000002E-2</v>
      </c>
    </row>
    <row r="2095" spans="1:5" ht="14.25" customHeight="1">
      <c r="A2095" s="140">
        <v>43633</v>
      </c>
      <c r="B2095">
        <v>38960.79</v>
      </c>
      <c r="C2095">
        <v>400.8</v>
      </c>
      <c r="D2095">
        <v>-1.2529999999999999E-2</v>
      </c>
      <c r="E2095">
        <v>-3.6999999999999999E-4</v>
      </c>
    </row>
    <row r="2096" spans="1:5" ht="14.25" customHeight="1">
      <c r="A2096" s="140">
        <v>43634</v>
      </c>
      <c r="B2096">
        <v>39046.339999999997</v>
      </c>
      <c r="C2096">
        <v>387.85</v>
      </c>
      <c r="D2096">
        <v>2.1900000000000001E-3</v>
      </c>
      <c r="E2096">
        <v>-3.2840000000000001E-2</v>
      </c>
    </row>
    <row r="2097" spans="1:5" ht="14.25" customHeight="1">
      <c r="A2097" s="140">
        <v>43635</v>
      </c>
      <c r="B2097">
        <v>39112.74</v>
      </c>
      <c r="C2097">
        <v>382.15</v>
      </c>
      <c r="D2097">
        <v>1.6999999999999999E-3</v>
      </c>
      <c r="E2097">
        <v>-1.481E-2</v>
      </c>
    </row>
    <row r="2098" spans="1:5" ht="14.25" customHeight="1">
      <c r="A2098" s="140">
        <v>43636</v>
      </c>
      <c r="B2098">
        <v>39601.629999999997</v>
      </c>
      <c r="C2098">
        <v>387.9</v>
      </c>
      <c r="D2098">
        <v>1.242E-2</v>
      </c>
      <c r="E2098">
        <v>1.4930000000000001E-2</v>
      </c>
    </row>
    <row r="2099" spans="1:5" ht="14.25" customHeight="1">
      <c r="A2099" s="140">
        <v>43637</v>
      </c>
      <c r="B2099">
        <v>39194.49</v>
      </c>
      <c r="C2099">
        <v>392.4</v>
      </c>
      <c r="D2099">
        <v>-1.0330000000000001E-2</v>
      </c>
      <c r="E2099">
        <v>1.153E-2</v>
      </c>
    </row>
    <row r="2100" spans="1:5" ht="14.25" customHeight="1">
      <c r="A2100" s="140">
        <v>43640</v>
      </c>
      <c r="B2100">
        <v>39122.959999999999</v>
      </c>
      <c r="C2100">
        <v>392.25</v>
      </c>
      <c r="D2100">
        <v>-1.83E-3</v>
      </c>
      <c r="E2100">
        <v>-3.8000000000000002E-4</v>
      </c>
    </row>
    <row r="2101" spans="1:5" ht="14.25" customHeight="1">
      <c r="A2101" s="140">
        <v>43641</v>
      </c>
      <c r="B2101">
        <v>39434.94</v>
      </c>
      <c r="C2101">
        <v>394.55</v>
      </c>
      <c r="D2101">
        <v>7.9399999999999991E-3</v>
      </c>
      <c r="E2101">
        <v>5.8500000000000002E-3</v>
      </c>
    </row>
    <row r="2102" spans="1:5" ht="14.25" customHeight="1">
      <c r="A2102" s="140">
        <v>43642</v>
      </c>
      <c r="B2102">
        <v>39592.080000000002</v>
      </c>
      <c r="C2102">
        <v>394.6</v>
      </c>
      <c r="D2102">
        <v>3.98E-3</v>
      </c>
      <c r="E2102">
        <v>1.2999999999999999E-4</v>
      </c>
    </row>
    <row r="2103" spans="1:5" ht="14.25" customHeight="1">
      <c r="A2103" s="140">
        <v>43643</v>
      </c>
      <c r="B2103">
        <v>39586.410000000003</v>
      </c>
      <c r="C2103">
        <v>401.05</v>
      </c>
      <c r="D2103">
        <v>-1.3999999999999999E-4</v>
      </c>
      <c r="E2103">
        <v>1.6209999999999999E-2</v>
      </c>
    </row>
    <row r="2104" spans="1:5" ht="14.25" customHeight="1">
      <c r="A2104" s="140">
        <v>43644</v>
      </c>
      <c r="B2104">
        <v>39394.639999999999</v>
      </c>
      <c r="C2104">
        <v>400.5</v>
      </c>
      <c r="D2104">
        <v>-4.8599999999999997E-3</v>
      </c>
      <c r="E2104">
        <v>-1.3699999999999999E-3</v>
      </c>
    </row>
    <row r="2105" spans="1:5" ht="14.25" customHeight="1">
      <c r="A2105" s="140">
        <v>43647</v>
      </c>
      <c r="B2105">
        <v>39686.5</v>
      </c>
      <c r="C2105">
        <v>401.95</v>
      </c>
      <c r="D2105">
        <v>7.3800000000000003E-3</v>
      </c>
      <c r="E2105">
        <v>3.6099999999999999E-3</v>
      </c>
    </row>
    <row r="2106" spans="1:5" ht="14.25" customHeight="1">
      <c r="A2106" s="140">
        <v>43648</v>
      </c>
      <c r="B2106">
        <v>39816.480000000003</v>
      </c>
      <c r="C2106">
        <v>402.55</v>
      </c>
      <c r="D2106">
        <v>3.2699999999999999E-3</v>
      </c>
      <c r="E2106">
        <v>1.49E-3</v>
      </c>
    </row>
    <row r="2107" spans="1:5" ht="14.25" customHeight="1">
      <c r="A2107" s="140">
        <v>43649</v>
      </c>
      <c r="B2107">
        <v>39839.25</v>
      </c>
      <c r="C2107">
        <v>408.65</v>
      </c>
      <c r="D2107">
        <v>5.6999999999999998E-4</v>
      </c>
      <c r="E2107">
        <v>1.504E-2</v>
      </c>
    </row>
    <row r="2108" spans="1:5" ht="14.25" customHeight="1">
      <c r="A2108" s="140">
        <v>43650</v>
      </c>
      <c r="B2108">
        <v>39908.06</v>
      </c>
      <c r="C2108">
        <v>403.1</v>
      </c>
      <c r="D2108">
        <v>1.73E-3</v>
      </c>
      <c r="E2108">
        <v>-1.367E-2</v>
      </c>
    </row>
    <row r="2109" spans="1:5" ht="14.25" customHeight="1">
      <c r="A2109" s="140">
        <v>43651</v>
      </c>
      <c r="B2109">
        <v>39513.39</v>
      </c>
      <c r="C2109">
        <v>407</v>
      </c>
      <c r="D2109">
        <v>-9.9399999999999992E-3</v>
      </c>
      <c r="E2109">
        <v>9.6299999999999997E-3</v>
      </c>
    </row>
    <row r="2110" spans="1:5" ht="14.25" customHeight="1">
      <c r="A2110" s="140">
        <v>43654</v>
      </c>
      <c r="B2110">
        <v>38720.57</v>
      </c>
      <c r="C2110">
        <v>401.3</v>
      </c>
      <c r="D2110">
        <v>-2.027E-2</v>
      </c>
      <c r="E2110">
        <v>-1.41E-2</v>
      </c>
    </row>
    <row r="2111" spans="1:5" ht="14.25" customHeight="1">
      <c r="A2111" s="140">
        <v>43655</v>
      </c>
      <c r="B2111">
        <v>38730.82</v>
      </c>
      <c r="C2111">
        <v>406.35</v>
      </c>
      <c r="D2111">
        <v>2.5999999999999998E-4</v>
      </c>
      <c r="E2111">
        <v>1.251E-2</v>
      </c>
    </row>
    <row r="2112" spans="1:5" ht="14.25" customHeight="1">
      <c r="A2112" s="140">
        <v>43656</v>
      </c>
      <c r="B2112">
        <v>38557.040000000001</v>
      </c>
      <c r="C2112">
        <v>409.65</v>
      </c>
      <c r="D2112">
        <v>-4.4999999999999997E-3</v>
      </c>
      <c r="E2112">
        <v>8.09E-3</v>
      </c>
    </row>
    <row r="2113" spans="1:5" ht="14.25" customHeight="1">
      <c r="A2113" s="140">
        <v>43657</v>
      </c>
      <c r="B2113">
        <v>38823.11</v>
      </c>
      <c r="C2113">
        <v>409.1</v>
      </c>
      <c r="D2113">
        <v>6.8799999999999998E-3</v>
      </c>
      <c r="E2113">
        <v>-1.34E-3</v>
      </c>
    </row>
    <row r="2114" spans="1:5" ht="14.25" customHeight="1">
      <c r="A2114" s="140">
        <v>43658</v>
      </c>
      <c r="B2114">
        <v>38736.230000000003</v>
      </c>
      <c r="C2114">
        <v>407.75</v>
      </c>
      <c r="D2114">
        <v>-2.2399999999999998E-3</v>
      </c>
      <c r="E2114">
        <v>-3.31E-3</v>
      </c>
    </row>
    <row r="2115" spans="1:5" ht="14.25" customHeight="1">
      <c r="A2115" s="140">
        <v>43661</v>
      </c>
      <c r="B2115">
        <v>38896.71</v>
      </c>
      <c r="C2115">
        <v>410.5</v>
      </c>
      <c r="D2115">
        <v>4.13E-3</v>
      </c>
      <c r="E2115">
        <v>6.7200000000000003E-3</v>
      </c>
    </row>
    <row r="2116" spans="1:5" ht="14.25" customHeight="1">
      <c r="A2116" s="140">
        <v>43662</v>
      </c>
      <c r="B2116">
        <v>39131.040000000001</v>
      </c>
      <c r="C2116">
        <v>424.8</v>
      </c>
      <c r="D2116">
        <v>6.0099999999999997E-3</v>
      </c>
      <c r="E2116">
        <v>3.424E-2</v>
      </c>
    </row>
    <row r="2117" spans="1:5" ht="14.25" customHeight="1">
      <c r="A2117" s="140">
        <v>43663</v>
      </c>
      <c r="B2117">
        <v>39215.64</v>
      </c>
      <c r="C2117">
        <v>430.9</v>
      </c>
      <c r="D2117">
        <v>2.16E-3</v>
      </c>
      <c r="E2117">
        <v>1.426E-2</v>
      </c>
    </row>
    <row r="2118" spans="1:5" ht="14.25" customHeight="1">
      <c r="A2118" s="140">
        <v>43664</v>
      </c>
      <c r="B2118">
        <v>38897.46</v>
      </c>
      <c r="C2118">
        <v>429</v>
      </c>
      <c r="D2118">
        <v>-8.1499999999999993E-3</v>
      </c>
      <c r="E2118">
        <v>-4.4200000000000003E-3</v>
      </c>
    </row>
    <row r="2119" spans="1:5" ht="14.25" customHeight="1">
      <c r="A2119" s="140">
        <v>43665</v>
      </c>
      <c r="B2119">
        <v>38337.01</v>
      </c>
      <c r="C2119">
        <v>421</v>
      </c>
      <c r="D2119">
        <v>-1.451E-2</v>
      </c>
      <c r="E2119">
        <v>-1.882E-2</v>
      </c>
    </row>
    <row r="2120" spans="1:5" ht="14.25" customHeight="1">
      <c r="A2120" s="140">
        <v>43668</v>
      </c>
      <c r="B2120">
        <v>38031.129999999997</v>
      </c>
      <c r="C2120">
        <v>421.15</v>
      </c>
      <c r="D2120">
        <v>-8.0099999999999998E-3</v>
      </c>
      <c r="E2120">
        <v>3.6000000000000002E-4</v>
      </c>
    </row>
    <row r="2121" spans="1:5" ht="14.25" customHeight="1">
      <c r="A2121" s="140">
        <v>43669</v>
      </c>
      <c r="B2121">
        <v>37982.74</v>
      </c>
      <c r="C2121">
        <v>424.2</v>
      </c>
      <c r="D2121">
        <v>-1.2700000000000001E-3</v>
      </c>
      <c r="E2121">
        <v>7.2199999999999999E-3</v>
      </c>
    </row>
    <row r="2122" spans="1:5" ht="14.25" customHeight="1">
      <c r="A2122" s="140">
        <v>43670</v>
      </c>
      <c r="B2122">
        <v>37847.65</v>
      </c>
      <c r="C2122">
        <v>420.8</v>
      </c>
      <c r="D2122">
        <v>-3.5599999999999998E-3</v>
      </c>
      <c r="E2122">
        <v>-8.0499999999999999E-3</v>
      </c>
    </row>
    <row r="2123" spans="1:5" ht="14.25" customHeight="1">
      <c r="A2123" s="140">
        <v>43671</v>
      </c>
      <c r="B2123">
        <v>37830.980000000003</v>
      </c>
      <c r="C2123">
        <v>423</v>
      </c>
      <c r="D2123">
        <v>-4.4000000000000002E-4</v>
      </c>
      <c r="E2123">
        <v>5.2100000000000002E-3</v>
      </c>
    </row>
    <row r="2124" spans="1:5" ht="14.25" customHeight="1">
      <c r="A2124" s="140">
        <v>43672</v>
      </c>
      <c r="B2124">
        <v>37882.79</v>
      </c>
      <c r="C2124">
        <v>428.1</v>
      </c>
      <c r="D2124">
        <v>1.3699999999999999E-3</v>
      </c>
      <c r="E2124">
        <v>1.1979999999999999E-2</v>
      </c>
    </row>
    <row r="2125" spans="1:5" ht="14.25" customHeight="1">
      <c r="A2125" s="140">
        <v>43675</v>
      </c>
      <c r="B2125">
        <v>37686.370000000003</v>
      </c>
      <c r="C2125">
        <v>428.3</v>
      </c>
      <c r="D2125">
        <v>-5.1999999999999998E-3</v>
      </c>
      <c r="E2125">
        <v>4.6999999999999999E-4</v>
      </c>
    </row>
    <row r="2126" spans="1:5" ht="14.25" customHeight="1">
      <c r="A2126" s="140">
        <v>43676</v>
      </c>
      <c r="B2126">
        <v>37397.24</v>
      </c>
      <c r="C2126">
        <v>423.1</v>
      </c>
      <c r="D2126">
        <v>-7.7000000000000002E-3</v>
      </c>
      <c r="E2126">
        <v>-1.222E-2</v>
      </c>
    </row>
    <row r="2127" spans="1:5" ht="14.25" customHeight="1">
      <c r="A2127" s="140">
        <v>43677</v>
      </c>
      <c r="B2127">
        <v>37481.120000000003</v>
      </c>
      <c r="C2127">
        <v>426.75</v>
      </c>
      <c r="D2127">
        <v>2.2399999999999998E-3</v>
      </c>
      <c r="E2127">
        <v>8.5900000000000004E-3</v>
      </c>
    </row>
    <row r="2128" spans="1:5" ht="14.25" customHeight="1">
      <c r="A2128" s="140">
        <v>43678</v>
      </c>
      <c r="B2128">
        <v>37018.32</v>
      </c>
      <c r="C2128">
        <v>425.4</v>
      </c>
      <c r="D2128">
        <v>-1.242E-2</v>
      </c>
      <c r="E2128">
        <v>-3.1700000000000001E-3</v>
      </c>
    </row>
    <row r="2129" spans="1:5" ht="14.25" customHeight="1">
      <c r="A2129" s="140">
        <v>43679</v>
      </c>
      <c r="B2129">
        <v>37118.22</v>
      </c>
      <c r="C2129">
        <v>426.15</v>
      </c>
      <c r="D2129">
        <v>2.7000000000000001E-3</v>
      </c>
      <c r="E2129">
        <v>1.7600000000000001E-3</v>
      </c>
    </row>
    <row r="2130" spans="1:5" ht="14.25" customHeight="1">
      <c r="A2130" s="140">
        <v>43682</v>
      </c>
      <c r="B2130">
        <v>36699.839999999997</v>
      </c>
      <c r="C2130">
        <v>429.7</v>
      </c>
      <c r="D2130">
        <v>-1.1339999999999999E-2</v>
      </c>
      <c r="E2130">
        <v>8.3000000000000001E-3</v>
      </c>
    </row>
    <row r="2131" spans="1:5" ht="14.25" customHeight="1">
      <c r="A2131" s="140">
        <v>43683</v>
      </c>
      <c r="B2131">
        <v>36976.85</v>
      </c>
      <c r="C2131">
        <v>433.3</v>
      </c>
      <c r="D2131">
        <v>7.5199999999999998E-3</v>
      </c>
      <c r="E2131">
        <v>8.3400000000000002E-3</v>
      </c>
    </row>
    <row r="2132" spans="1:5" ht="14.25" customHeight="1">
      <c r="A2132" s="140">
        <v>43684</v>
      </c>
      <c r="B2132">
        <v>36690.5</v>
      </c>
      <c r="C2132">
        <v>430.45</v>
      </c>
      <c r="D2132">
        <v>-7.77E-3</v>
      </c>
      <c r="E2132">
        <v>-6.6E-3</v>
      </c>
    </row>
    <row r="2133" spans="1:5" ht="14.25" customHeight="1">
      <c r="A2133" s="140">
        <v>43685</v>
      </c>
      <c r="B2133">
        <v>37327.360000000001</v>
      </c>
      <c r="C2133">
        <v>435.8</v>
      </c>
      <c r="D2133">
        <v>1.721E-2</v>
      </c>
      <c r="E2133">
        <v>1.235E-2</v>
      </c>
    </row>
    <row r="2134" spans="1:5" ht="14.25" customHeight="1">
      <c r="A2134" s="140">
        <v>43686</v>
      </c>
      <c r="B2134">
        <v>37581.910000000003</v>
      </c>
      <c r="C2134">
        <v>438.9</v>
      </c>
      <c r="D2134">
        <v>6.7999999999999996E-3</v>
      </c>
      <c r="E2134">
        <v>7.0899999999999999E-3</v>
      </c>
    </row>
    <row r="2135" spans="1:5" ht="14.25" customHeight="1">
      <c r="A2135" s="140">
        <v>43690</v>
      </c>
      <c r="B2135">
        <v>36958.160000000003</v>
      </c>
      <c r="C2135">
        <v>429.2</v>
      </c>
      <c r="D2135">
        <v>-1.6740000000000001E-2</v>
      </c>
      <c r="E2135">
        <v>-2.2349999999999998E-2</v>
      </c>
    </row>
    <row r="2136" spans="1:5" ht="14.25" customHeight="1">
      <c r="A2136" s="140">
        <v>43691</v>
      </c>
      <c r="B2136">
        <v>37311.53</v>
      </c>
      <c r="C2136">
        <v>431.45</v>
      </c>
      <c r="D2136">
        <v>9.5200000000000007E-3</v>
      </c>
      <c r="E2136">
        <v>5.2300000000000003E-3</v>
      </c>
    </row>
    <row r="2137" spans="1:5" ht="14.25" customHeight="1">
      <c r="A2137" s="140">
        <v>43693</v>
      </c>
      <c r="B2137">
        <v>37350.33</v>
      </c>
      <c r="C2137">
        <v>428.15</v>
      </c>
      <c r="D2137">
        <v>1.0399999999999999E-3</v>
      </c>
      <c r="E2137">
        <v>-7.6800000000000002E-3</v>
      </c>
    </row>
    <row r="2138" spans="1:5" ht="14.25" customHeight="1">
      <c r="A2138" s="140">
        <v>43696</v>
      </c>
      <c r="B2138">
        <v>37402.49</v>
      </c>
      <c r="C2138">
        <v>431.95</v>
      </c>
      <c r="D2138">
        <v>1.4E-3</v>
      </c>
      <c r="E2138">
        <v>8.8400000000000006E-3</v>
      </c>
    </row>
    <row r="2139" spans="1:5" ht="14.25" customHeight="1">
      <c r="A2139" s="140">
        <v>43697</v>
      </c>
      <c r="B2139">
        <v>37328.01</v>
      </c>
      <c r="C2139">
        <v>431.8</v>
      </c>
      <c r="D2139">
        <v>-1.99E-3</v>
      </c>
      <c r="E2139">
        <v>-3.5E-4</v>
      </c>
    </row>
    <row r="2140" spans="1:5" ht="14.25" customHeight="1">
      <c r="A2140" s="140">
        <v>43698</v>
      </c>
      <c r="B2140">
        <v>37060.370000000003</v>
      </c>
      <c r="C2140">
        <v>426.95</v>
      </c>
      <c r="D2140">
        <v>-7.1999999999999998E-3</v>
      </c>
      <c r="E2140">
        <v>-1.1299999999999999E-2</v>
      </c>
    </row>
    <row r="2141" spans="1:5" ht="14.25" customHeight="1">
      <c r="A2141" s="140">
        <v>43699</v>
      </c>
      <c r="B2141">
        <v>36472.93</v>
      </c>
      <c r="C2141">
        <v>427.95</v>
      </c>
      <c r="D2141">
        <v>-1.5980000000000001E-2</v>
      </c>
      <c r="E2141">
        <v>2.3400000000000001E-3</v>
      </c>
    </row>
    <row r="2142" spans="1:5" ht="14.25" customHeight="1">
      <c r="A2142" s="140">
        <v>43700</v>
      </c>
      <c r="B2142">
        <v>36701.160000000003</v>
      </c>
      <c r="C2142">
        <v>424.45</v>
      </c>
      <c r="D2142">
        <v>6.2399999999999999E-3</v>
      </c>
      <c r="E2142">
        <v>-8.2100000000000003E-3</v>
      </c>
    </row>
    <row r="2143" spans="1:5" ht="14.25" customHeight="1">
      <c r="A2143" s="140">
        <v>43703</v>
      </c>
      <c r="B2143">
        <v>37494.120000000003</v>
      </c>
      <c r="C2143">
        <v>435.75</v>
      </c>
      <c r="D2143">
        <v>2.138E-2</v>
      </c>
      <c r="E2143">
        <v>2.6270000000000002E-2</v>
      </c>
    </row>
    <row r="2144" spans="1:5" ht="14.25" customHeight="1">
      <c r="A2144" s="140">
        <v>43704</v>
      </c>
      <c r="B2144">
        <v>37641.269999999997</v>
      </c>
      <c r="C2144">
        <v>440.55</v>
      </c>
      <c r="D2144">
        <v>3.9199999999999999E-3</v>
      </c>
      <c r="E2144">
        <v>1.0959999999999999E-2</v>
      </c>
    </row>
    <row r="2145" spans="1:5" ht="14.25" customHeight="1">
      <c r="A2145" s="140">
        <v>43705</v>
      </c>
      <c r="B2145">
        <v>37451.839999999997</v>
      </c>
      <c r="C2145">
        <v>434.5</v>
      </c>
      <c r="D2145">
        <v>-5.0499999999999998E-3</v>
      </c>
      <c r="E2145">
        <v>-1.383E-2</v>
      </c>
    </row>
    <row r="2146" spans="1:5" ht="14.25" customHeight="1">
      <c r="A2146" s="140">
        <v>43706</v>
      </c>
      <c r="B2146">
        <v>37068.93</v>
      </c>
      <c r="C2146">
        <v>442.65</v>
      </c>
      <c r="D2146">
        <v>-1.0279999999999999E-2</v>
      </c>
      <c r="E2146">
        <v>1.8579999999999999E-2</v>
      </c>
    </row>
    <row r="2147" spans="1:5" ht="14.25" customHeight="1">
      <c r="A2147" s="140">
        <v>43707</v>
      </c>
      <c r="B2147">
        <v>37332.79</v>
      </c>
      <c r="C2147">
        <v>449.05</v>
      </c>
      <c r="D2147">
        <v>7.0899999999999999E-3</v>
      </c>
      <c r="E2147">
        <v>1.435E-2</v>
      </c>
    </row>
    <row r="2148" spans="1:5" ht="14.25" customHeight="1">
      <c r="A2148" s="140">
        <v>43711</v>
      </c>
      <c r="B2148">
        <v>36562.910000000003</v>
      </c>
      <c r="C2148">
        <v>442.45</v>
      </c>
      <c r="D2148">
        <v>-2.0840000000000001E-2</v>
      </c>
      <c r="E2148">
        <v>-1.481E-2</v>
      </c>
    </row>
    <row r="2149" spans="1:5" ht="14.25" customHeight="1">
      <c r="A2149" s="140">
        <v>43712</v>
      </c>
      <c r="B2149">
        <v>36724.74</v>
      </c>
      <c r="C2149">
        <v>442.15</v>
      </c>
      <c r="D2149">
        <v>4.4200000000000003E-3</v>
      </c>
      <c r="E2149">
        <v>-6.8000000000000005E-4</v>
      </c>
    </row>
    <row r="2150" spans="1:5" ht="14.25" customHeight="1">
      <c r="A2150" s="140">
        <v>43713</v>
      </c>
      <c r="B2150">
        <v>36644.42</v>
      </c>
      <c r="C2150">
        <v>439.05</v>
      </c>
      <c r="D2150">
        <v>-2.1900000000000001E-3</v>
      </c>
      <c r="E2150">
        <v>-7.0400000000000003E-3</v>
      </c>
    </row>
    <row r="2151" spans="1:5" ht="14.25" customHeight="1">
      <c r="A2151" s="140">
        <v>43714</v>
      </c>
      <c r="B2151">
        <v>36981.769999999997</v>
      </c>
      <c r="C2151">
        <v>441.1</v>
      </c>
      <c r="D2151">
        <v>9.1599999999999997E-3</v>
      </c>
      <c r="E2151">
        <v>4.6600000000000001E-3</v>
      </c>
    </row>
    <row r="2152" spans="1:5" ht="14.25" customHeight="1">
      <c r="A2152" s="140">
        <v>43717</v>
      </c>
      <c r="B2152">
        <v>37145.449999999997</v>
      </c>
      <c r="C2152">
        <v>444.15</v>
      </c>
      <c r="D2152">
        <v>4.4200000000000003E-3</v>
      </c>
      <c r="E2152">
        <v>6.8900000000000003E-3</v>
      </c>
    </row>
    <row r="2153" spans="1:5" ht="14.25" customHeight="1">
      <c r="A2153" s="140">
        <v>43719</v>
      </c>
      <c r="B2153">
        <v>37270.82</v>
      </c>
      <c r="C2153">
        <v>449</v>
      </c>
      <c r="D2153">
        <v>3.3700000000000002E-3</v>
      </c>
      <c r="E2153">
        <v>1.086E-2</v>
      </c>
    </row>
    <row r="2154" spans="1:5" ht="14.25" customHeight="1">
      <c r="A2154" s="140">
        <v>43720</v>
      </c>
      <c r="B2154">
        <v>37104.28</v>
      </c>
      <c r="C2154">
        <v>450.1</v>
      </c>
      <c r="D2154">
        <v>-4.4799999999999996E-3</v>
      </c>
      <c r="E2154">
        <v>2.4499999999999999E-3</v>
      </c>
    </row>
    <row r="2155" spans="1:5" ht="14.25" customHeight="1">
      <c r="A2155" s="140">
        <v>43721</v>
      </c>
      <c r="B2155">
        <v>37384.99</v>
      </c>
      <c r="C2155">
        <v>452.05</v>
      </c>
      <c r="D2155">
        <v>7.5399999999999998E-3</v>
      </c>
      <c r="E2155">
        <v>4.3200000000000001E-3</v>
      </c>
    </row>
    <row r="2156" spans="1:5" ht="14.25" customHeight="1">
      <c r="A2156" s="140">
        <v>43724</v>
      </c>
      <c r="B2156">
        <v>37123.31</v>
      </c>
      <c r="C2156">
        <v>454.4</v>
      </c>
      <c r="D2156">
        <v>-7.0200000000000002E-3</v>
      </c>
      <c r="E2156">
        <v>5.1900000000000002E-3</v>
      </c>
    </row>
    <row r="2157" spans="1:5" ht="14.25" customHeight="1">
      <c r="A2157" s="140">
        <v>43725</v>
      </c>
      <c r="B2157">
        <v>36481.089999999997</v>
      </c>
      <c r="C2157">
        <v>451.85</v>
      </c>
      <c r="D2157">
        <v>-1.745E-2</v>
      </c>
      <c r="E2157">
        <v>-5.6299999999999996E-3</v>
      </c>
    </row>
    <row r="2158" spans="1:5" ht="14.25" customHeight="1">
      <c r="A2158" s="140">
        <v>43726</v>
      </c>
      <c r="B2158">
        <v>36563.879999999997</v>
      </c>
      <c r="C2158">
        <v>460.4</v>
      </c>
      <c r="D2158">
        <v>2.2699999999999999E-3</v>
      </c>
      <c r="E2158">
        <v>1.8749999999999999E-2</v>
      </c>
    </row>
    <row r="2159" spans="1:5" ht="14.25" customHeight="1">
      <c r="A2159" s="140">
        <v>43727</v>
      </c>
      <c r="B2159">
        <v>36093.47</v>
      </c>
      <c r="C2159">
        <v>458.9</v>
      </c>
      <c r="D2159">
        <v>-1.295E-2</v>
      </c>
      <c r="E2159">
        <v>-3.2599999999999999E-3</v>
      </c>
    </row>
    <row r="2160" spans="1:5" ht="14.25" customHeight="1">
      <c r="A2160" s="140">
        <v>43728</v>
      </c>
      <c r="B2160">
        <v>38014.620000000003</v>
      </c>
      <c r="C2160">
        <v>446.05</v>
      </c>
      <c r="D2160">
        <v>5.1860000000000003E-2</v>
      </c>
      <c r="E2160">
        <v>-2.8400000000000002E-2</v>
      </c>
    </row>
    <row r="2161" spans="1:5" ht="14.25" customHeight="1">
      <c r="A2161" s="140">
        <v>43731</v>
      </c>
      <c r="B2161">
        <v>39090.03</v>
      </c>
      <c r="C2161">
        <v>440.75</v>
      </c>
      <c r="D2161">
        <v>2.7900000000000001E-2</v>
      </c>
      <c r="E2161">
        <v>-1.1950000000000001E-2</v>
      </c>
    </row>
    <row r="2162" spans="1:5" ht="14.25" customHeight="1">
      <c r="A2162" s="140">
        <v>43732</v>
      </c>
      <c r="B2162">
        <v>39097.14</v>
      </c>
      <c r="C2162">
        <v>451.7</v>
      </c>
      <c r="D2162">
        <v>1.8000000000000001E-4</v>
      </c>
      <c r="E2162">
        <v>2.4539999999999999E-2</v>
      </c>
    </row>
    <row r="2163" spans="1:5" ht="14.25" customHeight="1">
      <c r="A2163" s="140">
        <v>43733</v>
      </c>
      <c r="B2163">
        <v>38593.519999999997</v>
      </c>
      <c r="C2163">
        <v>445.75</v>
      </c>
      <c r="D2163">
        <v>-1.2959999999999999E-2</v>
      </c>
      <c r="E2163">
        <v>-1.3259999999999999E-2</v>
      </c>
    </row>
    <row r="2164" spans="1:5" ht="14.25" customHeight="1">
      <c r="A2164" s="140">
        <v>43734</v>
      </c>
      <c r="B2164">
        <v>38989.74</v>
      </c>
      <c r="C2164">
        <v>447.1</v>
      </c>
      <c r="D2164">
        <v>1.021E-2</v>
      </c>
      <c r="E2164">
        <v>3.0200000000000001E-3</v>
      </c>
    </row>
    <row r="2165" spans="1:5" ht="14.25" customHeight="1">
      <c r="A2165" s="140">
        <v>43735</v>
      </c>
      <c r="B2165">
        <v>38822.57</v>
      </c>
      <c r="C2165">
        <v>447.15</v>
      </c>
      <c r="D2165">
        <v>-4.3E-3</v>
      </c>
      <c r="E2165">
        <v>1.1E-4</v>
      </c>
    </row>
    <row r="2166" spans="1:5" ht="14.25" customHeight="1">
      <c r="A2166" s="140">
        <v>43738</v>
      </c>
      <c r="B2166">
        <v>38667.33</v>
      </c>
      <c r="C2166">
        <v>447.15</v>
      </c>
      <c r="D2166">
        <v>-4.0099999999999997E-3</v>
      </c>
      <c r="E2166">
        <v>0</v>
      </c>
    </row>
    <row r="2167" spans="1:5" ht="14.25" customHeight="1">
      <c r="A2167" s="140">
        <v>43739</v>
      </c>
      <c r="B2167">
        <v>38305.410000000003</v>
      </c>
      <c r="C2167">
        <v>439.65</v>
      </c>
      <c r="D2167">
        <v>-9.4000000000000004E-3</v>
      </c>
      <c r="E2167">
        <v>-1.6920000000000001E-2</v>
      </c>
    </row>
    <row r="2168" spans="1:5" ht="14.25" customHeight="1">
      <c r="A2168" s="140">
        <v>43741</v>
      </c>
      <c r="B2168">
        <v>38106.870000000003</v>
      </c>
      <c r="C2168">
        <v>433.85</v>
      </c>
      <c r="D2168">
        <v>-5.1999999999999998E-3</v>
      </c>
      <c r="E2168">
        <v>-1.328E-2</v>
      </c>
    </row>
    <row r="2169" spans="1:5" ht="14.25" customHeight="1">
      <c r="A2169" s="140">
        <v>43742</v>
      </c>
      <c r="B2169">
        <v>37673.31</v>
      </c>
      <c r="C2169">
        <v>425.95</v>
      </c>
      <c r="D2169">
        <v>-1.1440000000000001E-2</v>
      </c>
      <c r="E2169">
        <v>-1.8380000000000001E-2</v>
      </c>
    </row>
    <row r="2170" spans="1:5" ht="14.25" customHeight="1">
      <c r="A2170" s="140">
        <v>43745</v>
      </c>
      <c r="B2170">
        <v>37531.980000000003</v>
      </c>
      <c r="C2170">
        <v>432.4</v>
      </c>
      <c r="D2170">
        <v>-3.7599999999999999E-3</v>
      </c>
      <c r="E2170">
        <v>1.503E-2</v>
      </c>
    </row>
    <row r="2171" spans="1:5" ht="14.25" customHeight="1">
      <c r="A2171" s="140">
        <v>43747</v>
      </c>
      <c r="B2171">
        <v>38177.949999999997</v>
      </c>
      <c r="C2171">
        <v>443.25</v>
      </c>
      <c r="D2171">
        <v>1.7059999999999999E-2</v>
      </c>
      <c r="E2171">
        <v>2.478E-2</v>
      </c>
    </row>
    <row r="2172" spans="1:5" ht="14.25" customHeight="1">
      <c r="A2172" s="140">
        <v>43748</v>
      </c>
      <c r="B2172">
        <v>37880.400000000001</v>
      </c>
      <c r="C2172">
        <v>439.4</v>
      </c>
      <c r="D2172">
        <v>-7.8200000000000006E-3</v>
      </c>
      <c r="E2172">
        <v>-8.7200000000000003E-3</v>
      </c>
    </row>
    <row r="2173" spans="1:5" ht="14.25" customHeight="1">
      <c r="A2173" s="140">
        <v>43749</v>
      </c>
      <c r="B2173">
        <v>38127.08</v>
      </c>
      <c r="C2173">
        <v>445.65</v>
      </c>
      <c r="D2173">
        <v>6.4900000000000001E-3</v>
      </c>
      <c r="E2173">
        <v>1.4120000000000001E-2</v>
      </c>
    </row>
    <row r="2174" spans="1:5" ht="14.25" customHeight="1">
      <c r="A2174" s="140">
        <v>43752</v>
      </c>
      <c r="B2174">
        <v>38214.47</v>
      </c>
      <c r="C2174">
        <v>454.7</v>
      </c>
      <c r="D2174">
        <v>2.2899999999999999E-3</v>
      </c>
      <c r="E2174">
        <v>2.01E-2</v>
      </c>
    </row>
    <row r="2175" spans="1:5" ht="14.25" customHeight="1">
      <c r="A2175" s="140">
        <v>43753</v>
      </c>
      <c r="B2175">
        <v>38506.089999999997</v>
      </c>
      <c r="C2175">
        <v>450.05</v>
      </c>
      <c r="D2175">
        <v>7.6E-3</v>
      </c>
      <c r="E2175">
        <v>-1.0279999999999999E-2</v>
      </c>
    </row>
    <row r="2176" spans="1:5" ht="14.25" customHeight="1">
      <c r="A2176" s="140">
        <v>43754</v>
      </c>
      <c r="B2176">
        <v>38598.99</v>
      </c>
      <c r="C2176">
        <v>455.85</v>
      </c>
      <c r="D2176">
        <v>2.4099999999999998E-3</v>
      </c>
      <c r="E2176">
        <v>1.281E-2</v>
      </c>
    </row>
    <row r="2177" spans="1:5" ht="14.25" customHeight="1">
      <c r="A2177" s="140">
        <v>43755</v>
      </c>
      <c r="B2177">
        <v>39052.06</v>
      </c>
      <c r="C2177">
        <v>462.2</v>
      </c>
      <c r="D2177">
        <v>1.167E-2</v>
      </c>
      <c r="E2177">
        <v>1.383E-2</v>
      </c>
    </row>
    <row r="2178" spans="1:5" ht="14.25" customHeight="1">
      <c r="A2178" s="140">
        <v>43756</v>
      </c>
      <c r="B2178">
        <v>39298.379999999997</v>
      </c>
      <c r="C2178">
        <v>466.9</v>
      </c>
      <c r="D2178">
        <v>6.2899999999999996E-3</v>
      </c>
      <c r="E2178">
        <v>1.0120000000000001E-2</v>
      </c>
    </row>
    <row r="2179" spans="1:5" ht="14.25" customHeight="1">
      <c r="A2179" s="140">
        <v>43760</v>
      </c>
      <c r="B2179">
        <v>38963.839999999997</v>
      </c>
      <c r="C2179">
        <v>472.35</v>
      </c>
      <c r="D2179">
        <v>-8.5500000000000003E-3</v>
      </c>
      <c r="E2179">
        <v>1.1610000000000001E-2</v>
      </c>
    </row>
    <row r="2180" spans="1:5" ht="14.25" customHeight="1">
      <c r="A2180" s="140">
        <v>43761</v>
      </c>
      <c r="B2180">
        <v>39058.83</v>
      </c>
      <c r="C2180">
        <v>471.8</v>
      </c>
      <c r="D2180">
        <v>2.4299999999999999E-3</v>
      </c>
      <c r="E2180">
        <v>-1.17E-3</v>
      </c>
    </row>
    <row r="2181" spans="1:5" ht="14.25" customHeight="1">
      <c r="A2181" s="140">
        <v>43762</v>
      </c>
      <c r="B2181">
        <v>39020.39</v>
      </c>
      <c r="C2181">
        <v>469.65</v>
      </c>
      <c r="D2181">
        <v>-9.7999999999999997E-4</v>
      </c>
      <c r="E2181">
        <v>-4.5700000000000003E-3</v>
      </c>
    </row>
    <row r="2182" spans="1:5" ht="14.25" customHeight="1">
      <c r="A2182" s="140">
        <v>43763</v>
      </c>
      <c r="B2182">
        <v>39058.06</v>
      </c>
      <c r="C2182">
        <v>465.35</v>
      </c>
      <c r="D2182">
        <v>9.6000000000000002E-4</v>
      </c>
      <c r="E2182">
        <v>-9.1999999999999998E-3</v>
      </c>
    </row>
    <row r="2183" spans="1:5" ht="14.25" customHeight="1">
      <c r="A2183" s="140">
        <v>43765</v>
      </c>
      <c r="B2183">
        <v>39250.199999999997</v>
      </c>
      <c r="C2183">
        <v>469.1</v>
      </c>
      <c r="D2183">
        <v>4.9100000000000003E-3</v>
      </c>
      <c r="E2183">
        <v>8.0300000000000007E-3</v>
      </c>
    </row>
    <row r="2184" spans="1:5" ht="14.25" customHeight="1">
      <c r="A2184" s="140">
        <v>43767</v>
      </c>
      <c r="B2184">
        <v>39831.839999999997</v>
      </c>
      <c r="C2184">
        <v>465.9</v>
      </c>
      <c r="D2184">
        <v>1.4710000000000001E-2</v>
      </c>
      <c r="E2184">
        <v>-6.8399999999999997E-3</v>
      </c>
    </row>
    <row r="2185" spans="1:5" ht="14.25" customHeight="1">
      <c r="A2185" s="140">
        <v>43768</v>
      </c>
      <c r="B2185">
        <v>40051.870000000003</v>
      </c>
      <c r="C2185">
        <v>460.5</v>
      </c>
      <c r="D2185">
        <v>5.5100000000000001E-3</v>
      </c>
      <c r="E2185">
        <v>-1.166E-2</v>
      </c>
    </row>
    <row r="2186" spans="1:5" ht="14.25" customHeight="1">
      <c r="A2186" s="140">
        <v>43769</v>
      </c>
      <c r="B2186">
        <v>40129.050000000003</v>
      </c>
      <c r="C2186">
        <v>462.5</v>
      </c>
      <c r="D2186">
        <v>1.9300000000000001E-3</v>
      </c>
      <c r="E2186">
        <v>4.3299999999999996E-3</v>
      </c>
    </row>
    <row r="2187" spans="1:5" ht="14.25" customHeight="1">
      <c r="A2187" s="140">
        <v>43770</v>
      </c>
      <c r="B2187">
        <v>40165.03</v>
      </c>
      <c r="C2187">
        <v>463.8</v>
      </c>
      <c r="D2187">
        <v>8.9999999999999998E-4</v>
      </c>
      <c r="E2187">
        <v>2.81E-3</v>
      </c>
    </row>
    <row r="2188" spans="1:5" ht="14.25" customHeight="1">
      <c r="A2188" s="140">
        <v>43773</v>
      </c>
      <c r="B2188">
        <v>40301.96</v>
      </c>
      <c r="C2188">
        <v>459.75</v>
      </c>
      <c r="D2188">
        <v>3.3999999999999998E-3</v>
      </c>
      <c r="E2188">
        <v>-8.77E-3</v>
      </c>
    </row>
    <row r="2189" spans="1:5" ht="14.25" customHeight="1">
      <c r="A2189" s="140">
        <v>43774</v>
      </c>
      <c r="B2189">
        <v>40248.230000000003</v>
      </c>
      <c r="C2189">
        <v>481.5</v>
      </c>
      <c r="D2189">
        <v>-1.33E-3</v>
      </c>
      <c r="E2189">
        <v>4.6219999999999997E-2</v>
      </c>
    </row>
    <row r="2190" spans="1:5" ht="14.25" customHeight="1">
      <c r="A2190" s="140">
        <v>43775</v>
      </c>
      <c r="B2190">
        <v>40469.78</v>
      </c>
      <c r="C2190">
        <v>476.3</v>
      </c>
      <c r="D2190">
        <v>5.4900000000000001E-3</v>
      </c>
      <c r="E2190">
        <v>-1.086E-2</v>
      </c>
    </row>
    <row r="2191" spans="1:5" ht="14.25" customHeight="1">
      <c r="A2191" s="140">
        <v>43776</v>
      </c>
      <c r="B2191">
        <v>40653.74</v>
      </c>
      <c r="C2191">
        <v>478</v>
      </c>
      <c r="D2191">
        <v>4.5399999999999998E-3</v>
      </c>
      <c r="E2191">
        <v>3.5599999999999998E-3</v>
      </c>
    </row>
    <row r="2192" spans="1:5" ht="14.25" customHeight="1">
      <c r="A2192" s="140">
        <v>43777</v>
      </c>
      <c r="B2192">
        <v>40323.61</v>
      </c>
      <c r="C2192">
        <v>473.7</v>
      </c>
      <c r="D2192">
        <v>-8.1499999999999993E-3</v>
      </c>
      <c r="E2192">
        <v>-9.0399999999999994E-3</v>
      </c>
    </row>
    <row r="2193" spans="1:5" ht="14.25" customHeight="1">
      <c r="A2193" s="140">
        <v>43780</v>
      </c>
      <c r="B2193">
        <v>40345.08</v>
      </c>
      <c r="C2193">
        <v>477.3</v>
      </c>
      <c r="D2193">
        <v>5.2999999999999998E-4</v>
      </c>
      <c r="E2193">
        <v>7.5700000000000003E-3</v>
      </c>
    </row>
    <row r="2194" spans="1:5" ht="14.25" customHeight="1">
      <c r="A2194" s="140">
        <v>43782</v>
      </c>
      <c r="B2194">
        <v>40116.06</v>
      </c>
      <c r="C2194">
        <v>463.7</v>
      </c>
      <c r="D2194">
        <v>-5.6899999999999997E-3</v>
      </c>
      <c r="E2194">
        <v>-2.8910000000000002E-2</v>
      </c>
    </row>
    <row r="2195" spans="1:5" ht="14.25" customHeight="1">
      <c r="A2195" s="140">
        <v>43783</v>
      </c>
      <c r="B2195">
        <v>40286.480000000003</v>
      </c>
      <c r="C2195">
        <v>462.8</v>
      </c>
      <c r="D2195">
        <v>4.2399999999999998E-3</v>
      </c>
      <c r="E2195">
        <v>-1.9400000000000001E-3</v>
      </c>
    </row>
    <row r="2196" spans="1:5" ht="14.25" customHeight="1">
      <c r="A2196" s="140">
        <v>43784</v>
      </c>
      <c r="B2196">
        <v>40356.69</v>
      </c>
      <c r="C2196">
        <v>461.45</v>
      </c>
      <c r="D2196">
        <v>1.74E-3</v>
      </c>
      <c r="E2196">
        <v>-2.9199999999999999E-3</v>
      </c>
    </row>
    <row r="2197" spans="1:5" ht="14.25" customHeight="1">
      <c r="A2197" s="140">
        <v>43787</v>
      </c>
      <c r="B2197">
        <v>40284.19</v>
      </c>
      <c r="C2197">
        <v>455.1</v>
      </c>
      <c r="D2197">
        <v>-1.8E-3</v>
      </c>
      <c r="E2197">
        <v>-1.3860000000000001E-2</v>
      </c>
    </row>
    <row r="2198" spans="1:5" ht="14.25" customHeight="1">
      <c r="A2198" s="140">
        <v>43788</v>
      </c>
      <c r="B2198">
        <v>40469.699999999997</v>
      </c>
      <c r="C2198">
        <v>454.3</v>
      </c>
      <c r="D2198">
        <v>4.5900000000000003E-3</v>
      </c>
      <c r="E2198">
        <v>-1.7600000000000001E-3</v>
      </c>
    </row>
    <row r="2199" spans="1:5" ht="14.25" customHeight="1">
      <c r="A2199" s="140">
        <v>43789</v>
      </c>
      <c r="B2199">
        <v>40651.64</v>
      </c>
      <c r="C2199">
        <v>469.35</v>
      </c>
      <c r="D2199">
        <v>4.4900000000000001E-3</v>
      </c>
      <c r="E2199">
        <v>3.2590000000000001E-2</v>
      </c>
    </row>
    <row r="2200" spans="1:5" ht="14.25" customHeight="1">
      <c r="A2200" s="140">
        <v>43790</v>
      </c>
      <c r="B2200">
        <v>40575.17</v>
      </c>
      <c r="C2200">
        <v>464.1</v>
      </c>
      <c r="D2200">
        <v>-1.8799999999999999E-3</v>
      </c>
      <c r="E2200">
        <v>-1.125E-2</v>
      </c>
    </row>
    <row r="2201" spans="1:5" ht="14.25" customHeight="1">
      <c r="A2201" s="140">
        <v>43791</v>
      </c>
      <c r="B2201">
        <v>40359.410000000003</v>
      </c>
      <c r="C2201">
        <v>463.35</v>
      </c>
      <c r="D2201">
        <v>-5.3299999999999997E-3</v>
      </c>
      <c r="E2201">
        <v>-1.6199999999999999E-3</v>
      </c>
    </row>
    <row r="2202" spans="1:5" ht="14.25" customHeight="1">
      <c r="A2202" s="140">
        <v>43794</v>
      </c>
      <c r="B2202">
        <v>40889.230000000003</v>
      </c>
      <c r="C2202">
        <v>469.75</v>
      </c>
      <c r="D2202">
        <v>1.304E-2</v>
      </c>
      <c r="E2202">
        <v>1.372E-2</v>
      </c>
    </row>
    <row r="2203" spans="1:5" ht="14.25" customHeight="1">
      <c r="A2203" s="140">
        <v>43795</v>
      </c>
      <c r="B2203">
        <v>40821.300000000003</v>
      </c>
      <c r="C2203">
        <v>465.85</v>
      </c>
      <c r="D2203">
        <v>-1.66E-3</v>
      </c>
      <c r="E2203">
        <v>-8.3400000000000002E-3</v>
      </c>
    </row>
    <row r="2204" spans="1:5" ht="14.25" customHeight="1">
      <c r="A2204" s="140">
        <v>43796</v>
      </c>
      <c r="B2204">
        <v>41020.61</v>
      </c>
      <c r="C2204">
        <v>469.15</v>
      </c>
      <c r="D2204">
        <v>4.8700000000000002E-3</v>
      </c>
      <c r="E2204">
        <v>7.0600000000000003E-3</v>
      </c>
    </row>
    <row r="2205" spans="1:5" ht="14.25" customHeight="1">
      <c r="A2205" s="140">
        <v>43797</v>
      </c>
      <c r="B2205">
        <v>41130.17</v>
      </c>
      <c r="C2205">
        <v>466.35</v>
      </c>
      <c r="D2205">
        <v>2.6700000000000001E-3</v>
      </c>
      <c r="E2205">
        <v>-5.9899999999999997E-3</v>
      </c>
    </row>
    <row r="2206" spans="1:5" ht="14.25" customHeight="1">
      <c r="A2206" s="140">
        <v>43798</v>
      </c>
      <c r="B2206">
        <v>40793.81</v>
      </c>
      <c r="C2206">
        <v>459.25</v>
      </c>
      <c r="D2206">
        <v>-8.2100000000000003E-3</v>
      </c>
      <c r="E2206">
        <v>-1.5339999999999999E-2</v>
      </c>
    </row>
    <row r="2207" spans="1:5" ht="14.25" customHeight="1">
      <c r="A2207" s="140">
        <v>43801</v>
      </c>
      <c r="B2207">
        <v>40802.17</v>
      </c>
      <c r="C2207">
        <v>453.9</v>
      </c>
      <c r="D2207">
        <v>2.0000000000000001E-4</v>
      </c>
      <c r="E2207">
        <v>-1.172E-2</v>
      </c>
    </row>
    <row r="2208" spans="1:5" ht="14.25" customHeight="1">
      <c r="A2208" s="140">
        <v>43802</v>
      </c>
      <c r="B2208">
        <v>40675.449999999997</v>
      </c>
      <c r="C2208">
        <v>451.05</v>
      </c>
      <c r="D2208">
        <v>-3.1099999999999999E-3</v>
      </c>
      <c r="E2208">
        <v>-6.3E-3</v>
      </c>
    </row>
    <row r="2209" spans="1:5" ht="14.25" customHeight="1">
      <c r="A2209" s="140">
        <v>43803</v>
      </c>
      <c r="B2209">
        <v>40850.29</v>
      </c>
      <c r="C2209">
        <v>457.75</v>
      </c>
      <c r="D2209">
        <v>4.2900000000000004E-3</v>
      </c>
      <c r="E2209">
        <v>1.474E-2</v>
      </c>
    </row>
    <row r="2210" spans="1:5" ht="14.25" customHeight="1">
      <c r="A2210" s="140">
        <v>43804</v>
      </c>
      <c r="B2210">
        <v>40779.589999999997</v>
      </c>
      <c r="C2210">
        <v>466.1</v>
      </c>
      <c r="D2210">
        <v>-1.73E-3</v>
      </c>
      <c r="E2210">
        <v>1.8079999999999999E-2</v>
      </c>
    </row>
    <row r="2211" spans="1:5" ht="14.25" customHeight="1">
      <c r="A2211" s="140">
        <v>43805</v>
      </c>
      <c r="B2211">
        <v>40445.15</v>
      </c>
      <c r="C2211">
        <v>463.25</v>
      </c>
      <c r="D2211">
        <v>-8.2299999999999995E-3</v>
      </c>
      <c r="E2211">
        <v>-6.13E-3</v>
      </c>
    </row>
    <row r="2212" spans="1:5" ht="14.25" customHeight="1">
      <c r="A2212" s="140">
        <v>43808</v>
      </c>
      <c r="B2212">
        <v>40487.43</v>
      </c>
      <c r="C2212">
        <v>465.05</v>
      </c>
      <c r="D2212">
        <v>1.0399999999999999E-3</v>
      </c>
      <c r="E2212">
        <v>3.8800000000000002E-3</v>
      </c>
    </row>
    <row r="2213" spans="1:5" ht="14.25" customHeight="1">
      <c r="A2213" s="140">
        <v>43809</v>
      </c>
      <c r="B2213">
        <v>40239.879999999997</v>
      </c>
      <c r="C2213">
        <v>457.1</v>
      </c>
      <c r="D2213">
        <v>-6.13E-3</v>
      </c>
      <c r="E2213">
        <v>-1.7239999999999998E-2</v>
      </c>
    </row>
    <row r="2214" spans="1:5" ht="14.25" customHeight="1">
      <c r="A2214" s="140">
        <v>43810</v>
      </c>
      <c r="B2214">
        <v>40412.57</v>
      </c>
      <c r="C2214">
        <v>451.3</v>
      </c>
      <c r="D2214">
        <v>4.28E-3</v>
      </c>
      <c r="E2214">
        <v>-1.277E-2</v>
      </c>
    </row>
    <row r="2215" spans="1:5" ht="14.25" customHeight="1">
      <c r="A2215" s="140">
        <v>43811</v>
      </c>
      <c r="B2215">
        <v>40581.71</v>
      </c>
      <c r="C2215">
        <v>457.3</v>
      </c>
      <c r="D2215">
        <v>4.1799999999999997E-3</v>
      </c>
      <c r="E2215">
        <v>1.321E-2</v>
      </c>
    </row>
    <row r="2216" spans="1:5" ht="14.25" customHeight="1">
      <c r="A2216" s="140">
        <v>43812</v>
      </c>
      <c r="B2216">
        <v>41009.71</v>
      </c>
      <c r="C2216">
        <v>459.9</v>
      </c>
      <c r="D2216">
        <v>1.0489999999999999E-2</v>
      </c>
      <c r="E2216">
        <v>5.6699999999999997E-3</v>
      </c>
    </row>
    <row r="2217" spans="1:5" ht="14.25" customHeight="1">
      <c r="A2217" s="140">
        <v>43815</v>
      </c>
      <c r="B2217">
        <v>40938.720000000001</v>
      </c>
      <c r="C2217">
        <v>459.45</v>
      </c>
      <c r="D2217">
        <v>-1.73E-3</v>
      </c>
      <c r="E2217">
        <v>-9.7999999999999997E-4</v>
      </c>
    </row>
    <row r="2218" spans="1:5" ht="14.25" customHeight="1">
      <c r="A2218" s="140">
        <v>43816</v>
      </c>
      <c r="B2218">
        <v>41352.17</v>
      </c>
      <c r="C2218">
        <v>460.5</v>
      </c>
      <c r="D2218">
        <v>1.005E-2</v>
      </c>
      <c r="E2218">
        <v>2.2799999999999999E-3</v>
      </c>
    </row>
    <row r="2219" spans="1:5" ht="14.25" customHeight="1">
      <c r="A2219" s="140">
        <v>43817</v>
      </c>
      <c r="B2219">
        <v>41558.57</v>
      </c>
      <c r="C2219">
        <v>462.6</v>
      </c>
      <c r="D2219">
        <v>4.9800000000000001E-3</v>
      </c>
      <c r="E2219">
        <v>4.5500000000000002E-3</v>
      </c>
    </row>
    <row r="2220" spans="1:5" ht="14.25" customHeight="1">
      <c r="A2220" s="140">
        <v>43818</v>
      </c>
      <c r="B2220">
        <v>41673.919999999998</v>
      </c>
      <c r="C2220">
        <v>459.75</v>
      </c>
      <c r="D2220">
        <v>2.7699999999999999E-3</v>
      </c>
      <c r="E2220">
        <v>-6.1799999999999997E-3</v>
      </c>
    </row>
    <row r="2221" spans="1:5" ht="14.25" customHeight="1">
      <c r="A2221" s="140">
        <v>43819</v>
      </c>
      <c r="B2221">
        <v>41681.54</v>
      </c>
      <c r="C2221">
        <v>459.6</v>
      </c>
      <c r="D2221">
        <v>1.8000000000000001E-4</v>
      </c>
      <c r="E2221">
        <v>-3.3E-4</v>
      </c>
    </row>
    <row r="2222" spans="1:5" ht="14.25" customHeight="1">
      <c r="A2222" s="140">
        <v>43822</v>
      </c>
      <c r="B2222">
        <v>41642.660000000003</v>
      </c>
      <c r="C2222">
        <v>460.9</v>
      </c>
      <c r="D2222">
        <v>-9.3000000000000005E-4</v>
      </c>
      <c r="E2222">
        <v>2.82E-3</v>
      </c>
    </row>
    <row r="2223" spans="1:5" ht="14.25" customHeight="1">
      <c r="A2223" s="140">
        <v>43823</v>
      </c>
      <c r="B2223">
        <v>41461.26</v>
      </c>
      <c r="C2223">
        <v>457.7</v>
      </c>
      <c r="D2223">
        <v>-4.3699999999999998E-3</v>
      </c>
      <c r="E2223">
        <v>-6.9699999999999996E-3</v>
      </c>
    </row>
    <row r="2224" spans="1:5" ht="14.25" customHeight="1">
      <c r="A2224" s="140">
        <v>43825</v>
      </c>
      <c r="B2224">
        <v>41163.760000000002</v>
      </c>
      <c r="C2224">
        <v>457.65</v>
      </c>
      <c r="D2224">
        <v>-7.1999999999999998E-3</v>
      </c>
      <c r="E2224">
        <v>-1.1E-4</v>
      </c>
    </row>
    <row r="2225" spans="1:5" ht="14.25" customHeight="1">
      <c r="A2225" s="140">
        <v>43826</v>
      </c>
      <c r="B2225">
        <v>41575.14</v>
      </c>
      <c r="C2225">
        <v>459.9</v>
      </c>
      <c r="D2225">
        <v>9.9399999999999992E-3</v>
      </c>
      <c r="E2225">
        <v>4.8999999999999998E-3</v>
      </c>
    </row>
    <row r="2226" spans="1:5" ht="14.25" customHeight="1">
      <c r="A2226" s="140">
        <v>43829</v>
      </c>
      <c r="B2226">
        <v>41558</v>
      </c>
      <c r="C2226">
        <v>462.1</v>
      </c>
      <c r="D2226">
        <v>-4.0999999999999999E-4</v>
      </c>
      <c r="E2226">
        <v>4.7699999999999999E-3</v>
      </c>
    </row>
    <row r="2227" spans="1:5" ht="14.25" customHeight="1">
      <c r="A2227" s="140">
        <v>43830</v>
      </c>
      <c r="B2227">
        <v>41253.74</v>
      </c>
      <c r="C2227">
        <v>458.4</v>
      </c>
      <c r="D2227">
        <v>-7.3499999999999998E-3</v>
      </c>
      <c r="E2227">
        <v>-8.0400000000000003E-3</v>
      </c>
    </row>
    <row r="2228" spans="1:5" ht="14.25" customHeight="1">
      <c r="A2228" s="140">
        <v>43831</v>
      </c>
      <c r="B2228">
        <v>41306.019999999997</v>
      </c>
      <c r="C2228">
        <v>460.05</v>
      </c>
      <c r="D2228">
        <v>1.2700000000000001E-3</v>
      </c>
      <c r="E2228">
        <v>3.5899999999999999E-3</v>
      </c>
    </row>
    <row r="2229" spans="1:5" ht="14.25" customHeight="1">
      <c r="A2229" s="140">
        <v>43832</v>
      </c>
      <c r="B2229">
        <v>41626.639999999999</v>
      </c>
      <c r="C2229">
        <v>460</v>
      </c>
      <c r="D2229">
        <v>7.7299999999999999E-3</v>
      </c>
      <c r="E2229">
        <v>-1.1E-4</v>
      </c>
    </row>
    <row r="2230" spans="1:5" ht="14.25" customHeight="1">
      <c r="A2230" s="140">
        <v>43833</v>
      </c>
      <c r="B2230">
        <v>41464.61</v>
      </c>
      <c r="C2230">
        <v>455.6</v>
      </c>
      <c r="D2230">
        <v>-3.8999999999999998E-3</v>
      </c>
      <c r="E2230">
        <v>-9.6100000000000005E-3</v>
      </c>
    </row>
    <row r="2231" spans="1:5" ht="14.25" customHeight="1">
      <c r="A2231" s="140">
        <v>43836</v>
      </c>
      <c r="B2231">
        <v>40676.629999999997</v>
      </c>
      <c r="C2231">
        <v>447.55</v>
      </c>
      <c r="D2231">
        <v>-1.9189999999999999E-2</v>
      </c>
      <c r="E2231">
        <v>-1.7829999999999999E-2</v>
      </c>
    </row>
    <row r="2232" spans="1:5" ht="14.25" customHeight="1">
      <c r="A2232" s="140">
        <v>43837</v>
      </c>
      <c r="B2232">
        <v>40869.47</v>
      </c>
      <c r="C2232">
        <v>453.4</v>
      </c>
      <c r="D2232">
        <v>4.7299999999999998E-3</v>
      </c>
      <c r="E2232">
        <v>1.299E-2</v>
      </c>
    </row>
    <row r="2233" spans="1:5" ht="14.25" customHeight="1">
      <c r="A2233" s="140">
        <v>43838</v>
      </c>
      <c r="B2233">
        <v>40817.74</v>
      </c>
      <c r="C2233">
        <v>456.75</v>
      </c>
      <c r="D2233">
        <v>-1.2700000000000001E-3</v>
      </c>
      <c r="E2233">
        <v>7.3600000000000002E-3</v>
      </c>
    </row>
    <row r="2234" spans="1:5" ht="14.25" customHeight="1">
      <c r="A2234" s="140">
        <v>43839</v>
      </c>
      <c r="B2234">
        <v>41452.35</v>
      </c>
      <c r="C2234">
        <v>460.55</v>
      </c>
      <c r="D2234">
        <v>1.5429999999999999E-2</v>
      </c>
      <c r="E2234">
        <v>8.2900000000000005E-3</v>
      </c>
    </row>
    <row r="2235" spans="1:5" ht="14.25" customHeight="1">
      <c r="A2235" s="140">
        <v>43840</v>
      </c>
      <c r="B2235">
        <v>41599.72</v>
      </c>
      <c r="C2235">
        <v>466.65</v>
      </c>
      <c r="D2235">
        <v>3.5500000000000002E-3</v>
      </c>
      <c r="E2235">
        <v>1.316E-2</v>
      </c>
    </row>
    <row r="2236" spans="1:5" ht="14.25" customHeight="1">
      <c r="A2236" s="140">
        <v>43843</v>
      </c>
      <c r="B2236">
        <v>41859.69</v>
      </c>
      <c r="C2236">
        <v>478.65</v>
      </c>
      <c r="D2236">
        <v>6.2300000000000003E-3</v>
      </c>
      <c r="E2236">
        <v>2.5389999999999999E-2</v>
      </c>
    </row>
    <row r="2237" spans="1:5" ht="14.25" customHeight="1">
      <c r="A2237" s="140">
        <v>43844</v>
      </c>
      <c r="B2237">
        <v>41952.63</v>
      </c>
      <c r="C2237">
        <v>482.45</v>
      </c>
      <c r="D2237">
        <v>2.2200000000000002E-3</v>
      </c>
      <c r="E2237">
        <v>7.9100000000000004E-3</v>
      </c>
    </row>
    <row r="2238" spans="1:5" ht="14.25" customHeight="1">
      <c r="A2238" s="140">
        <v>43845</v>
      </c>
      <c r="B2238">
        <v>41872.730000000003</v>
      </c>
      <c r="C2238">
        <v>490.7</v>
      </c>
      <c r="D2238">
        <v>-1.91E-3</v>
      </c>
      <c r="E2238">
        <v>1.6959999999999999E-2</v>
      </c>
    </row>
    <row r="2239" spans="1:5" ht="14.25" customHeight="1">
      <c r="A2239" s="140">
        <v>43846</v>
      </c>
      <c r="B2239">
        <v>41932.559999999998</v>
      </c>
      <c r="C2239">
        <v>487.55</v>
      </c>
      <c r="D2239">
        <v>1.4300000000000001E-3</v>
      </c>
      <c r="E2239">
        <v>-6.4400000000000004E-3</v>
      </c>
    </row>
    <row r="2240" spans="1:5" ht="14.25" customHeight="1">
      <c r="A2240" s="140">
        <v>43847</v>
      </c>
      <c r="B2240">
        <v>41945.37</v>
      </c>
      <c r="C2240">
        <v>489.85</v>
      </c>
      <c r="D2240">
        <v>3.1E-4</v>
      </c>
      <c r="E2240">
        <v>4.7099999999999998E-3</v>
      </c>
    </row>
    <row r="2241" spans="1:5" ht="14.25" customHeight="1">
      <c r="A2241" s="140">
        <v>43850</v>
      </c>
      <c r="B2241">
        <v>41528.910000000003</v>
      </c>
      <c r="C2241">
        <v>485.9</v>
      </c>
      <c r="D2241">
        <v>-9.9799999999999993E-3</v>
      </c>
      <c r="E2241">
        <v>-8.0999999999999996E-3</v>
      </c>
    </row>
    <row r="2242" spans="1:5" ht="14.25" customHeight="1">
      <c r="A2242" s="140">
        <v>43851</v>
      </c>
      <c r="B2242">
        <v>41323.81</v>
      </c>
      <c r="C2242">
        <v>486.65</v>
      </c>
      <c r="D2242">
        <v>-4.9500000000000004E-3</v>
      </c>
      <c r="E2242">
        <v>1.5399999999999999E-3</v>
      </c>
    </row>
    <row r="2243" spans="1:5" ht="14.25" customHeight="1">
      <c r="A2243" s="140">
        <v>43852</v>
      </c>
      <c r="B2243">
        <v>41115.379999999997</v>
      </c>
      <c r="C2243">
        <v>486.65</v>
      </c>
      <c r="D2243">
        <v>-5.0600000000000003E-3</v>
      </c>
      <c r="E2243">
        <v>0</v>
      </c>
    </row>
    <row r="2244" spans="1:5" ht="14.25" customHeight="1">
      <c r="A2244" s="140">
        <v>43853</v>
      </c>
      <c r="B2244">
        <v>41386.400000000001</v>
      </c>
      <c r="C2244">
        <v>489.75</v>
      </c>
      <c r="D2244">
        <v>6.5700000000000003E-3</v>
      </c>
      <c r="E2244">
        <v>6.3499999999999997E-3</v>
      </c>
    </row>
    <row r="2245" spans="1:5" ht="14.25" customHeight="1">
      <c r="A2245" s="140">
        <v>43854</v>
      </c>
      <c r="B2245">
        <v>41613.19</v>
      </c>
      <c r="C2245">
        <v>500.3</v>
      </c>
      <c r="D2245">
        <v>5.4599999999999996E-3</v>
      </c>
      <c r="E2245">
        <v>2.1309999999999999E-2</v>
      </c>
    </row>
    <row r="2246" spans="1:5" ht="14.25" customHeight="1">
      <c r="A2246" s="140">
        <v>43857</v>
      </c>
      <c r="B2246">
        <v>41155.120000000003</v>
      </c>
      <c r="C2246">
        <v>493.15</v>
      </c>
      <c r="D2246">
        <v>-1.107E-2</v>
      </c>
      <c r="E2246">
        <v>-1.439E-2</v>
      </c>
    </row>
    <row r="2247" spans="1:5" ht="14.25" customHeight="1">
      <c r="A2247" s="140">
        <v>43858</v>
      </c>
      <c r="B2247">
        <v>40966.86</v>
      </c>
      <c r="C2247">
        <v>488.2</v>
      </c>
      <c r="D2247">
        <v>-4.5799999999999999E-3</v>
      </c>
      <c r="E2247">
        <v>-1.009E-2</v>
      </c>
    </row>
    <row r="2248" spans="1:5" ht="14.25" customHeight="1">
      <c r="A2248" s="140">
        <v>43859</v>
      </c>
      <c r="B2248">
        <v>41198.660000000003</v>
      </c>
      <c r="C2248">
        <v>491.65</v>
      </c>
      <c r="D2248">
        <v>5.64E-3</v>
      </c>
      <c r="E2248">
        <v>7.0400000000000003E-3</v>
      </c>
    </row>
    <row r="2249" spans="1:5" ht="14.25" customHeight="1">
      <c r="A2249" s="140">
        <v>43860</v>
      </c>
      <c r="B2249">
        <v>40913.82</v>
      </c>
      <c r="C2249">
        <v>478.15</v>
      </c>
      <c r="D2249">
        <v>-6.94E-3</v>
      </c>
      <c r="E2249">
        <v>-2.784E-2</v>
      </c>
    </row>
    <row r="2250" spans="1:5" ht="14.25" customHeight="1">
      <c r="A2250" s="140">
        <v>43861</v>
      </c>
      <c r="B2250">
        <v>40723.49</v>
      </c>
      <c r="C2250">
        <v>496</v>
      </c>
      <c r="D2250">
        <v>-4.6600000000000001E-3</v>
      </c>
      <c r="E2250">
        <v>3.6650000000000002E-2</v>
      </c>
    </row>
    <row r="2251" spans="1:5" ht="14.25" customHeight="1">
      <c r="A2251" s="140">
        <v>43862</v>
      </c>
      <c r="B2251">
        <v>39735.53</v>
      </c>
      <c r="C2251">
        <v>485.45</v>
      </c>
      <c r="D2251">
        <v>-2.4559999999999998E-2</v>
      </c>
      <c r="E2251">
        <v>-2.1499999999999998E-2</v>
      </c>
    </row>
    <row r="2252" spans="1:5" ht="14.25" customHeight="1">
      <c r="A2252" s="140">
        <v>43864</v>
      </c>
      <c r="B2252">
        <v>39872.31</v>
      </c>
      <c r="C2252">
        <v>497.45</v>
      </c>
      <c r="D2252">
        <v>3.4399999999999999E-3</v>
      </c>
      <c r="E2252">
        <v>2.4420000000000001E-2</v>
      </c>
    </row>
    <row r="2253" spans="1:5" ht="14.25" customHeight="1">
      <c r="A2253" s="140">
        <v>43865</v>
      </c>
      <c r="B2253">
        <v>40789.379999999997</v>
      </c>
      <c r="C2253">
        <v>503.65</v>
      </c>
      <c r="D2253">
        <v>2.274E-2</v>
      </c>
      <c r="E2253">
        <v>1.239E-2</v>
      </c>
    </row>
    <row r="2254" spans="1:5" ht="14.25" customHeight="1">
      <c r="A2254" s="140">
        <v>43866</v>
      </c>
      <c r="B2254">
        <v>41142.660000000003</v>
      </c>
      <c r="C2254">
        <v>510.85</v>
      </c>
      <c r="D2254">
        <v>8.6199999999999992E-3</v>
      </c>
      <c r="E2254">
        <v>1.4189999999999999E-2</v>
      </c>
    </row>
    <row r="2255" spans="1:5" ht="14.25" customHeight="1">
      <c r="A2255" s="140">
        <v>43867</v>
      </c>
      <c r="B2255">
        <v>41306.03</v>
      </c>
      <c r="C2255">
        <v>509.65</v>
      </c>
      <c r="D2255">
        <v>3.96E-3</v>
      </c>
      <c r="E2255">
        <v>-2.3500000000000001E-3</v>
      </c>
    </row>
    <row r="2256" spans="1:5" ht="14.25" customHeight="1">
      <c r="A2256" s="140">
        <v>43868</v>
      </c>
      <c r="B2256">
        <v>41141.85</v>
      </c>
      <c r="C2256">
        <v>513.65</v>
      </c>
      <c r="D2256">
        <v>-3.98E-3</v>
      </c>
      <c r="E2256">
        <v>7.8200000000000006E-3</v>
      </c>
    </row>
    <row r="2257" spans="1:5" ht="14.25" customHeight="1">
      <c r="A2257" s="140">
        <v>43871</v>
      </c>
      <c r="B2257">
        <v>40979.620000000003</v>
      </c>
      <c r="C2257">
        <v>512.54999999999995</v>
      </c>
      <c r="D2257">
        <v>-3.9500000000000004E-3</v>
      </c>
      <c r="E2257">
        <v>-2.14E-3</v>
      </c>
    </row>
    <row r="2258" spans="1:5" ht="14.25" customHeight="1">
      <c r="A2258" s="140">
        <v>43872</v>
      </c>
      <c r="B2258">
        <v>41216.14</v>
      </c>
      <c r="C2258">
        <v>508.65</v>
      </c>
      <c r="D2258">
        <v>5.7600000000000004E-3</v>
      </c>
      <c r="E2258">
        <v>-7.6400000000000001E-3</v>
      </c>
    </row>
    <row r="2259" spans="1:5" ht="14.25" customHeight="1">
      <c r="A2259" s="140">
        <v>43873</v>
      </c>
      <c r="B2259">
        <v>41565.9</v>
      </c>
      <c r="C2259">
        <v>519.95000000000005</v>
      </c>
      <c r="D2259">
        <v>8.4499999999999992E-3</v>
      </c>
      <c r="E2259">
        <v>2.197E-2</v>
      </c>
    </row>
    <row r="2260" spans="1:5" ht="14.25" customHeight="1">
      <c r="A2260" s="140">
        <v>43874</v>
      </c>
      <c r="B2260">
        <v>41459.79</v>
      </c>
      <c r="C2260">
        <v>513</v>
      </c>
      <c r="D2260">
        <v>-2.5600000000000002E-3</v>
      </c>
      <c r="E2260">
        <v>-1.346E-2</v>
      </c>
    </row>
    <row r="2261" spans="1:5" ht="14.25" customHeight="1">
      <c r="A2261" s="140">
        <v>43875</v>
      </c>
      <c r="B2261">
        <v>41257.74</v>
      </c>
      <c r="C2261">
        <v>505.7</v>
      </c>
      <c r="D2261">
        <v>-4.8900000000000002E-3</v>
      </c>
      <c r="E2261">
        <v>-1.4330000000000001E-2</v>
      </c>
    </row>
    <row r="2262" spans="1:5" ht="14.25" customHeight="1">
      <c r="A2262" s="140">
        <v>43878</v>
      </c>
      <c r="B2262">
        <v>41055.69</v>
      </c>
      <c r="C2262">
        <v>501</v>
      </c>
      <c r="D2262">
        <v>-4.9100000000000003E-3</v>
      </c>
      <c r="E2262">
        <v>-9.3399999999999993E-3</v>
      </c>
    </row>
    <row r="2263" spans="1:5" ht="14.25" customHeight="1">
      <c r="A2263" s="140">
        <v>43879</v>
      </c>
      <c r="B2263">
        <v>40894.379999999997</v>
      </c>
      <c r="C2263">
        <v>504.85</v>
      </c>
      <c r="D2263">
        <v>-3.9399999999999999E-3</v>
      </c>
      <c r="E2263">
        <v>7.6600000000000001E-3</v>
      </c>
    </row>
    <row r="2264" spans="1:5" ht="14.25" customHeight="1">
      <c r="A2264" s="140">
        <v>43880</v>
      </c>
      <c r="B2264">
        <v>41323</v>
      </c>
      <c r="C2264">
        <v>507.95</v>
      </c>
      <c r="D2264">
        <v>1.043E-2</v>
      </c>
      <c r="E2264">
        <v>6.1199999999999996E-3</v>
      </c>
    </row>
    <row r="2265" spans="1:5" ht="14.25" customHeight="1">
      <c r="A2265" s="140">
        <v>43881</v>
      </c>
      <c r="B2265">
        <v>41170.120000000003</v>
      </c>
      <c r="C2265">
        <v>506.15</v>
      </c>
      <c r="D2265">
        <v>-3.7100000000000002E-3</v>
      </c>
      <c r="E2265">
        <v>-3.5500000000000002E-3</v>
      </c>
    </row>
    <row r="2266" spans="1:5" ht="14.25" customHeight="1">
      <c r="A2266" s="140">
        <v>43885</v>
      </c>
      <c r="B2266">
        <v>40363.230000000003</v>
      </c>
      <c r="C2266">
        <v>500.75</v>
      </c>
      <c r="D2266">
        <v>-1.9789999999999999E-2</v>
      </c>
      <c r="E2266">
        <v>-1.073E-2</v>
      </c>
    </row>
    <row r="2267" spans="1:5" ht="14.25" customHeight="1">
      <c r="A2267" s="140">
        <v>43886</v>
      </c>
      <c r="B2267">
        <v>40281.199999999997</v>
      </c>
      <c r="C2267">
        <v>500.1</v>
      </c>
      <c r="D2267">
        <v>-2.0300000000000001E-3</v>
      </c>
      <c r="E2267">
        <v>-1.2999999999999999E-3</v>
      </c>
    </row>
    <row r="2268" spans="1:5" ht="14.25" customHeight="1">
      <c r="A2268" s="140">
        <v>43887</v>
      </c>
      <c r="B2268">
        <v>39888.959999999999</v>
      </c>
      <c r="C2268">
        <v>502.1</v>
      </c>
      <c r="D2268">
        <v>-9.7900000000000001E-3</v>
      </c>
      <c r="E2268">
        <v>3.9899999999999996E-3</v>
      </c>
    </row>
    <row r="2269" spans="1:5" ht="14.25" customHeight="1">
      <c r="A2269" s="140">
        <v>43888</v>
      </c>
      <c r="B2269">
        <v>39745.660000000003</v>
      </c>
      <c r="C2269">
        <v>506.75</v>
      </c>
      <c r="D2269">
        <v>-3.5999999999999999E-3</v>
      </c>
      <c r="E2269">
        <v>9.2200000000000008E-3</v>
      </c>
    </row>
    <row r="2270" spans="1:5" ht="14.25" customHeight="1">
      <c r="A2270" s="140">
        <v>43889</v>
      </c>
      <c r="B2270">
        <v>38297.29</v>
      </c>
      <c r="C2270">
        <v>496.05</v>
      </c>
      <c r="D2270">
        <v>-3.712E-2</v>
      </c>
      <c r="E2270">
        <v>-2.1340000000000001E-2</v>
      </c>
    </row>
    <row r="2271" spans="1:5" ht="14.25" customHeight="1">
      <c r="A2271" s="140">
        <v>43892</v>
      </c>
      <c r="B2271">
        <v>38144.019999999997</v>
      </c>
      <c r="C2271">
        <v>497.65</v>
      </c>
      <c r="D2271">
        <v>-4.0099999999999997E-3</v>
      </c>
      <c r="E2271">
        <v>3.2200000000000002E-3</v>
      </c>
    </row>
    <row r="2272" spans="1:5" ht="14.25" customHeight="1">
      <c r="A2272" s="140">
        <v>43893</v>
      </c>
      <c r="B2272">
        <v>38623.699999999997</v>
      </c>
      <c r="C2272">
        <v>506.45</v>
      </c>
      <c r="D2272">
        <v>1.2500000000000001E-2</v>
      </c>
      <c r="E2272">
        <v>1.753E-2</v>
      </c>
    </row>
    <row r="2273" spans="1:5" ht="14.25" customHeight="1">
      <c r="A2273" s="140">
        <v>43894</v>
      </c>
      <c r="B2273">
        <v>38409.480000000003</v>
      </c>
      <c r="C2273">
        <v>514.70000000000005</v>
      </c>
      <c r="D2273">
        <v>-5.5599999999999998E-3</v>
      </c>
      <c r="E2273">
        <v>1.6160000000000001E-2</v>
      </c>
    </row>
    <row r="2274" spans="1:5" ht="14.25" customHeight="1">
      <c r="A2274" s="140">
        <v>43895</v>
      </c>
      <c r="B2274">
        <v>38470.61</v>
      </c>
      <c r="C2274">
        <v>518.29999999999995</v>
      </c>
      <c r="D2274">
        <v>1.5900000000000001E-3</v>
      </c>
      <c r="E2274">
        <v>6.9699999999999996E-3</v>
      </c>
    </row>
    <row r="2275" spans="1:5" ht="14.25" customHeight="1">
      <c r="A2275" s="140">
        <v>43896</v>
      </c>
      <c r="B2275">
        <v>37576.620000000003</v>
      </c>
      <c r="C2275">
        <v>500.45</v>
      </c>
      <c r="D2275">
        <v>-2.351E-2</v>
      </c>
      <c r="E2275">
        <v>-3.5049999999999998E-2</v>
      </c>
    </row>
    <row r="2276" spans="1:5" ht="14.25" customHeight="1">
      <c r="A2276" s="140">
        <v>43899</v>
      </c>
      <c r="B2276">
        <v>35634.949999999997</v>
      </c>
      <c r="C2276">
        <v>482.6</v>
      </c>
      <c r="D2276">
        <v>-5.3060000000000003E-2</v>
      </c>
      <c r="E2276">
        <v>-3.6319999999999998E-2</v>
      </c>
    </row>
    <row r="2277" spans="1:5" ht="14.25" customHeight="1">
      <c r="A2277" s="140">
        <v>43901</v>
      </c>
      <c r="B2277">
        <v>35697.4</v>
      </c>
      <c r="C2277">
        <v>488.2</v>
      </c>
      <c r="D2277">
        <v>1.75E-3</v>
      </c>
      <c r="E2277">
        <v>1.154E-2</v>
      </c>
    </row>
    <row r="2278" spans="1:5" ht="14.25" customHeight="1">
      <c r="A2278" s="140">
        <v>43902</v>
      </c>
      <c r="B2278">
        <v>32778.14</v>
      </c>
      <c r="C2278">
        <v>454.95</v>
      </c>
      <c r="D2278">
        <v>-8.5319999999999993E-2</v>
      </c>
      <c r="E2278">
        <v>-7.0540000000000005E-2</v>
      </c>
    </row>
    <row r="2279" spans="1:5" ht="14.25" customHeight="1">
      <c r="A2279" s="140">
        <v>43903</v>
      </c>
      <c r="B2279">
        <v>34103.480000000003</v>
      </c>
      <c r="C2279">
        <v>450.9</v>
      </c>
      <c r="D2279">
        <v>3.9640000000000002E-2</v>
      </c>
      <c r="E2279">
        <v>-8.94E-3</v>
      </c>
    </row>
    <row r="2280" spans="1:5" ht="14.25" customHeight="1">
      <c r="A2280" s="140">
        <v>43906</v>
      </c>
      <c r="B2280">
        <v>31390.07</v>
      </c>
      <c r="C2280">
        <v>431.9</v>
      </c>
      <c r="D2280">
        <v>-8.2909999999999998E-2</v>
      </c>
      <c r="E2280">
        <v>-4.3049999999999998E-2</v>
      </c>
    </row>
    <row r="2281" spans="1:5" ht="14.25" customHeight="1">
      <c r="A2281" s="140">
        <v>43907</v>
      </c>
      <c r="B2281">
        <v>30579.09</v>
      </c>
      <c r="C2281">
        <v>430.05</v>
      </c>
      <c r="D2281">
        <v>-2.6179999999999998E-2</v>
      </c>
      <c r="E2281">
        <v>-4.2900000000000004E-3</v>
      </c>
    </row>
    <row r="2282" spans="1:5" ht="14.25" customHeight="1">
      <c r="A2282" s="140">
        <v>43908</v>
      </c>
      <c r="B2282">
        <v>28869.51</v>
      </c>
      <c r="C2282">
        <v>414.25</v>
      </c>
      <c r="D2282">
        <v>-5.7529999999999998E-2</v>
      </c>
      <c r="E2282">
        <v>-3.7429999999999998E-2</v>
      </c>
    </row>
    <row r="2283" spans="1:5" ht="14.25" customHeight="1">
      <c r="A2283" s="140">
        <v>43909</v>
      </c>
      <c r="B2283">
        <v>28288.23</v>
      </c>
      <c r="C2283">
        <v>419.55</v>
      </c>
      <c r="D2283">
        <v>-2.034E-2</v>
      </c>
      <c r="E2283">
        <v>1.2710000000000001E-2</v>
      </c>
    </row>
    <row r="2284" spans="1:5" ht="14.25" customHeight="1">
      <c r="A2284" s="140">
        <v>43910</v>
      </c>
      <c r="B2284">
        <v>29915.96</v>
      </c>
      <c r="C2284">
        <v>444.5</v>
      </c>
      <c r="D2284">
        <v>5.595E-2</v>
      </c>
      <c r="E2284">
        <v>5.7770000000000002E-2</v>
      </c>
    </row>
    <row r="2285" spans="1:5" ht="14.25" customHeight="1">
      <c r="A2285" s="140">
        <v>43913</v>
      </c>
      <c r="B2285">
        <v>25981.24</v>
      </c>
      <c r="C2285">
        <v>396.8</v>
      </c>
      <c r="D2285">
        <v>-0.14102000000000001</v>
      </c>
      <c r="E2285">
        <v>-0.11352</v>
      </c>
    </row>
    <row r="2286" spans="1:5" ht="14.25" customHeight="1">
      <c r="A2286" s="140">
        <v>43914</v>
      </c>
      <c r="B2286">
        <v>26674.03</v>
      </c>
      <c r="C2286">
        <v>401.65</v>
      </c>
      <c r="D2286">
        <v>2.632E-2</v>
      </c>
      <c r="E2286">
        <v>1.2149999999999999E-2</v>
      </c>
    </row>
    <row r="2287" spans="1:5" ht="14.25" customHeight="1">
      <c r="A2287" s="140">
        <v>43915</v>
      </c>
      <c r="B2287">
        <v>28535.78</v>
      </c>
      <c r="C2287">
        <v>404.6</v>
      </c>
      <c r="D2287">
        <v>6.7470000000000002E-2</v>
      </c>
      <c r="E2287">
        <v>7.3200000000000001E-3</v>
      </c>
    </row>
    <row r="2288" spans="1:5" ht="14.25" customHeight="1">
      <c r="A2288" s="140">
        <v>43916</v>
      </c>
      <c r="B2288">
        <v>29946.77</v>
      </c>
      <c r="C2288">
        <v>426.4</v>
      </c>
      <c r="D2288">
        <v>4.8259999999999997E-2</v>
      </c>
      <c r="E2288">
        <v>5.2479999999999999E-2</v>
      </c>
    </row>
    <row r="2289" spans="1:5" ht="14.25" customHeight="1">
      <c r="A2289" s="140">
        <v>43917</v>
      </c>
      <c r="B2289">
        <v>29815.59</v>
      </c>
      <c r="C2289">
        <v>423.2</v>
      </c>
      <c r="D2289">
        <v>-4.3899999999999998E-3</v>
      </c>
      <c r="E2289">
        <v>-7.5300000000000002E-3</v>
      </c>
    </row>
    <row r="2290" spans="1:5" ht="14.25" customHeight="1">
      <c r="A2290" s="140">
        <v>43920</v>
      </c>
      <c r="B2290">
        <v>28440.32</v>
      </c>
      <c r="C2290">
        <v>427.9</v>
      </c>
      <c r="D2290">
        <v>-4.7219999999999998E-2</v>
      </c>
      <c r="E2290">
        <v>1.1039999999999999E-2</v>
      </c>
    </row>
    <row r="2291" spans="1:5" ht="14.25" customHeight="1">
      <c r="A2291" s="140">
        <v>43921</v>
      </c>
      <c r="B2291">
        <v>29468.49</v>
      </c>
      <c r="C2291">
        <v>450.25</v>
      </c>
      <c r="D2291">
        <v>3.551E-2</v>
      </c>
      <c r="E2291">
        <v>5.0909999999999997E-2</v>
      </c>
    </row>
    <row r="2292" spans="1:5" ht="14.25" customHeight="1">
      <c r="A2292" s="140">
        <v>43922</v>
      </c>
      <c r="B2292">
        <v>28265.31</v>
      </c>
      <c r="C2292">
        <v>434.9</v>
      </c>
      <c r="D2292">
        <v>-4.1689999999999998E-2</v>
      </c>
      <c r="E2292">
        <v>-3.4689999999999999E-2</v>
      </c>
    </row>
    <row r="2293" spans="1:5" ht="14.25" customHeight="1">
      <c r="A2293" s="140">
        <v>43924</v>
      </c>
      <c r="B2293">
        <v>27590.95</v>
      </c>
      <c r="C2293">
        <v>428.3</v>
      </c>
      <c r="D2293">
        <v>-2.4150000000000001E-2</v>
      </c>
      <c r="E2293">
        <v>-1.529E-2</v>
      </c>
    </row>
    <row r="2294" spans="1:5" ht="14.25" customHeight="1">
      <c r="A2294" s="140">
        <v>43928</v>
      </c>
      <c r="B2294">
        <v>30067.21</v>
      </c>
      <c r="C2294">
        <v>478.4</v>
      </c>
      <c r="D2294">
        <v>8.5949999999999999E-2</v>
      </c>
      <c r="E2294">
        <v>0.11062</v>
      </c>
    </row>
    <row r="2295" spans="1:5" ht="14.25" customHeight="1">
      <c r="A2295" s="140">
        <v>43929</v>
      </c>
      <c r="B2295">
        <v>29893.96</v>
      </c>
      <c r="C2295">
        <v>488.05</v>
      </c>
      <c r="D2295">
        <v>-5.7800000000000004E-3</v>
      </c>
      <c r="E2295">
        <v>1.9970000000000002E-2</v>
      </c>
    </row>
    <row r="2296" spans="1:5" ht="14.25" customHeight="1">
      <c r="A2296" s="140">
        <v>43930</v>
      </c>
      <c r="B2296">
        <v>31159.62</v>
      </c>
      <c r="C2296">
        <v>485.35</v>
      </c>
      <c r="D2296">
        <v>4.147E-2</v>
      </c>
      <c r="E2296">
        <v>-5.5500000000000002E-3</v>
      </c>
    </row>
    <row r="2297" spans="1:5" ht="14.25" customHeight="1">
      <c r="A2297" s="140">
        <v>43934</v>
      </c>
      <c r="B2297">
        <v>30690.02</v>
      </c>
      <c r="C2297">
        <v>479.75</v>
      </c>
      <c r="D2297">
        <v>-1.519E-2</v>
      </c>
      <c r="E2297">
        <v>-1.1610000000000001E-2</v>
      </c>
    </row>
    <row r="2298" spans="1:5" ht="14.25" customHeight="1">
      <c r="A2298" s="140">
        <v>43936</v>
      </c>
      <c r="B2298">
        <v>30379.81</v>
      </c>
      <c r="C2298">
        <v>502.9</v>
      </c>
      <c r="D2298">
        <v>-1.0160000000000001E-2</v>
      </c>
      <c r="E2298">
        <v>4.7129999999999998E-2</v>
      </c>
    </row>
    <row r="2299" spans="1:5" ht="14.25" customHeight="1">
      <c r="A2299" s="140">
        <v>43937</v>
      </c>
      <c r="B2299">
        <v>30602.61</v>
      </c>
      <c r="C2299">
        <v>503.7</v>
      </c>
      <c r="D2299">
        <v>7.3099999999999997E-3</v>
      </c>
      <c r="E2299">
        <v>1.5900000000000001E-3</v>
      </c>
    </row>
    <row r="2300" spans="1:5" ht="14.25" customHeight="1">
      <c r="A2300" s="140">
        <v>43938</v>
      </c>
      <c r="B2300">
        <v>31588.720000000001</v>
      </c>
      <c r="C2300">
        <v>489.15</v>
      </c>
      <c r="D2300">
        <v>3.1710000000000002E-2</v>
      </c>
      <c r="E2300">
        <v>-2.9309999999999999E-2</v>
      </c>
    </row>
    <row r="2301" spans="1:5" ht="14.25" customHeight="1">
      <c r="A2301" s="140">
        <v>43941</v>
      </c>
      <c r="B2301">
        <v>31648</v>
      </c>
      <c r="C2301">
        <v>493.1</v>
      </c>
      <c r="D2301">
        <v>1.8699999999999999E-3</v>
      </c>
      <c r="E2301">
        <v>8.0400000000000003E-3</v>
      </c>
    </row>
    <row r="2302" spans="1:5" ht="14.25" customHeight="1">
      <c r="A2302" s="140">
        <v>43942</v>
      </c>
      <c r="B2302">
        <v>30636.71</v>
      </c>
      <c r="C2302">
        <v>498.05</v>
      </c>
      <c r="D2302">
        <v>-3.2480000000000002E-2</v>
      </c>
      <c r="E2302">
        <v>9.9900000000000006E-3</v>
      </c>
    </row>
    <row r="2303" spans="1:5" ht="14.25" customHeight="1">
      <c r="A2303" s="140">
        <v>43943</v>
      </c>
      <c r="B2303">
        <v>31379.55</v>
      </c>
      <c r="C2303">
        <v>502.75</v>
      </c>
      <c r="D2303">
        <v>2.3959999999999999E-2</v>
      </c>
      <c r="E2303">
        <v>9.3900000000000008E-3</v>
      </c>
    </row>
    <row r="2304" spans="1:5" ht="14.25" customHeight="1">
      <c r="A2304" s="140">
        <v>43944</v>
      </c>
      <c r="B2304">
        <v>31863.08</v>
      </c>
      <c r="C2304">
        <v>499.15</v>
      </c>
      <c r="D2304">
        <v>1.529E-2</v>
      </c>
      <c r="E2304">
        <v>-7.1900000000000002E-3</v>
      </c>
    </row>
    <row r="2305" spans="1:5" ht="14.25" customHeight="1">
      <c r="A2305" s="140">
        <v>43945</v>
      </c>
      <c r="B2305">
        <v>31327.22</v>
      </c>
      <c r="C2305">
        <v>498.95</v>
      </c>
      <c r="D2305">
        <v>-1.6959999999999999E-2</v>
      </c>
      <c r="E2305">
        <v>-4.0000000000000002E-4</v>
      </c>
    </row>
    <row r="2306" spans="1:5" ht="14.25" customHeight="1">
      <c r="A2306" s="140">
        <v>43948</v>
      </c>
      <c r="B2306">
        <v>31743.08</v>
      </c>
      <c r="C2306">
        <v>491.6</v>
      </c>
      <c r="D2306">
        <v>1.319E-2</v>
      </c>
      <c r="E2306">
        <v>-1.4840000000000001E-2</v>
      </c>
    </row>
    <row r="2307" spans="1:5" ht="14.25" customHeight="1">
      <c r="A2307" s="140">
        <v>43949</v>
      </c>
      <c r="B2307">
        <v>32114.52</v>
      </c>
      <c r="C2307">
        <v>487.6</v>
      </c>
      <c r="D2307">
        <v>1.163E-2</v>
      </c>
      <c r="E2307">
        <v>-8.1700000000000002E-3</v>
      </c>
    </row>
    <row r="2308" spans="1:5" ht="14.25" customHeight="1">
      <c r="A2308" s="140">
        <v>43950</v>
      </c>
      <c r="B2308">
        <v>32720.16</v>
      </c>
      <c r="C2308">
        <v>478.6</v>
      </c>
      <c r="D2308">
        <v>1.8679999999999999E-2</v>
      </c>
      <c r="E2308">
        <v>-1.8630000000000001E-2</v>
      </c>
    </row>
    <row r="2309" spans="1:5" ht="14.25" customHeight="1">
      <c r="A2309" s="140">
        <v>43951</v>
      </c>
      <c r="B2309">
        <v>33717.620000000003</v>
      </c>
      <c r="C2309">
        <v>489.35</v>
      </c>
      <c r="D2309">
        <v>3.0030000000000001E-2</v>
      </c>
      <c r="E2309">
        <v>2.2210000000000001E-2</v>
      </c>
    </row>
    <row r="2310" spans="1:5" ht="14.25" customHeight="1">
      <c r="A2310" s="140">
        <v>43955</v>
      </c>
      <c r="B2310">
        <v>31715.35</v>
      </c>
      <c r="C2310">
        <v>468.8</v>
      </c>
      <c r="D2310">
        <v>-6.1219999999999997E-2</v>
      </c>
      <c r="E2310">
        <v>-4.2900000000000001E-2</v>
      </c>
    </row>
    <row r="2311" spans="1:5" ht="14.25" customHeight="1">
      <c r="A2311" s="140">
        <v>43956</v>
      </c>
      <c r="B2311">
        <v>31453.51</v>
      </c>
      <c r="C2311">
        <v>452.6</v>
      </c>
      <c r="D2311">
        <v>-8.2900000000000005E-3</v>
      </c>
      <c r="E2311">
        <v>-3.517E-2</v>
      </c>
    </row>
    <row r="2312" spans="1:5" ht="14.25" customHeight="1">
      <c r="A2312" s="140">
        <v>43957</v>
      </c>
      <c r="B2312">
        <v>31685.75</v>
      </c>
      <c r="C2312">
        <v>455.7</v>
      </c>
      <c r="D2312">
        <v>7.3600000000000002E-3</v>
      </c>
      <c r="E2312">
        <v>6.8300000000000001E-3</v>
      </c>
    </row>
    <row r="2313" spans="1:5" ht="14.25" customHeight="1">
      <c r="A2313" s="140">
        <v>43958</v>
      </c>
      <c r="B2313">
        <v>31443.38</v>
      </c>
      <c r="C2313">
        <v>442</v>
      </c>
      <c r="D2313">
        <v>-7.6800000000000002E-3</v>
      </c>
      <c r="E2313">
        <v>-3.0519999999999999E-2</v>
      </c>
    </row>
    <row r="2314" spans="1:5" ht="14.25" customHeight="1">
      <c r="A2314" s="140">
        <v>43959</v>
      </c>
      <c r="B2314">
        <v>31642.7</v>
      </c>
      <c r="C2314">
        <v>446.7</v>
      </c>
      <c r="D2314">
        <v>6.3200000000000001E-3</v>
      </c>
      <c r="E2314">
        <v>1.0580000000000001E-2</v>
      </c>
    </row>
    <row r="2315" spans="1:5" ht="14.25" customHeight="1">
      <c r="A2315" s="140">
        <v>43962</v>
      </c>
      <c r="B2315">
        <v>31561.22</v>
      </c>
      <c r="C2315">
        <v>446.5</v>
      </c>
      <c r="D2315">
        <v>-2.5799999999999998E-3</v>
      </c>
      <c r="E2315">
        <v>-4.4999999999999999E-4</v>
      </c>
    </row>
    <row r="2316" spans="1:5" ht="14.25" customHeight="1">
      <c r="A2316" s="140">
        <v>43963</v>
      </c>
      <c r="B2316">
        <v>31371.119999999999</v>
      </c>
      <c r="C2316">
        <v>443</v>
      </c>
      <c r="D2316">
        <v>-6.0400000000000002E-3</v>
      </c>
      <c r="E2316">
        <v>-7.8700000000000003E-3</v>
      </c>
    </row>
    <row r="2317" spans="1:5" ht="14.25" customHeight="1">
      <c r="A2317" s="140">
        <v>43964</v>
      </c>
      <c r="B2317">
        <v>32008.61</v>
      </c>
      <c r="C2317">
        <v>444.1</v>
      </c>
      <c r="D2317">
        <v>2.0119999999999999E-2</v>
      </c>
      <c r="E2317">
        <v>2.48E-3</v>
      </c>
    </row>
    <row r="2318" spans="1:5" ht="14.25" customHeight="1">
      <c r="A2318" s="140">
        <v>43965</v>
      </c>
      <c r="B2318">
        <v>31122.89</v>
      </c>
      <c r="C2318">
        <v>459.05</v>
      </c>
      <c r="D2318">
        <v>-2.8060000000000002E-2</v>
      </c>
      <c r="E2318">
        <v>3.3110000000000001E-2</v>
      </c>
    </row>
    <row r="2319" spans="1:5" ht="14.25" customHeight="1">
      <c r="A2319" s="140">
        <v>43966</v>
      </c>
      <c r="B2319">
        <v>31097.73</v>
      </c>
      <c r="C2319">
        <v>443.95</v>
      </c>
      <c r="D2319">
        <v>-8.0999999999999996E-4</v>
      </c>
      <c r="E2319">
        <v>-3.3450000000000001E-2</v>
      </c>
    </row>
    <row r="2320" spans="1:5" ht="14.25" customHeight="1">
      <c r="A2320" s="140">
        <v>43969</v>
      </c>
      <c r="B2320">
        <v>30028.98</v>
      </c>
      <c r="C2320">
        <v>436.3</v>
      </c>
      <c r="D2320">
        <v>-3.4970000000000001E-2</v>
      </c>
      <c r="E2320">
        <v>-1.738E-2</v>
      </c>
    </row>
    <row r="2321" spans="1:5" ht="14.25" customHeight="1">
      <c r="A2321" s="140">
        <v>43970</v>
      </c>
      <c r="B2321">
        <v>30196.17</v>
      </c>
      <c r="C2321">
        <v>437.3</v>
      </c>
      <c r="D2321">
        <v>5.5500000000000002E-3</v>
      </c>
      <c r="E2321">
        <v>2.2899999999999999E-3</v>
      </c>
    </row>
    <row r="2322" spans="1:5" ht="14.25" customHeight="1">
      <c r="A2322" s="140">
        <v>43971</v>
      </c>
      <c r="B2322">
        <v>30818.61</v>
      </c>
      <c r="C2322">
        <v>439.5</v>
      </c>
      <c r="D2322">
        <v>2.0400000000000001E-2</v>
      </c>
      <c r="E2322">
        <v>5.0200000000000002E-3</v>
      </c>
    </row>
    <row r="2323" spans="1:5" ht="14.25" customHeight="1">
      <c r="A2323" s="140">
        <v>43972</v>
      </c>
      <c r="B2323">
        <v>30932.9</v>
      </c>
      <c r="C2323">
        <v>440.2</v>
      </c>
      <c r="D2323">
        <v>3.7000000000000002E-3</v>
      </c>
      <c r="E2323">
        <v>1.5900000000000001E-3</v>
      </c>
    </row>
    <row r="2324" spans="1:5" ht="14.25" customHeight="1">
      <c r="A2324" s="140">
        <v>43973</v>
      </c>
      <c r="B2324">
        <v>30672.59</v>
      </c>
      <c r="C2324">
        <v>432.2</v>
      </c>
      <c r="D2324">
        <v>-8.4499999999999992E-3</v>
      </c>
      <c r="E2324">
        <v>-1.8339999999999999E-2</v>
      </c>
    </row>
    <row r="2325" spans="1:5" ht="14.25" customHeight="1">
      <c r="A2325" s="140">
        <v>43977</v>
      </c>
      <c r="B2325">
        <v>30609.3</v>
      </c>
      <c r="C2325">
        <v>433.25</v>
      </c>
      <c r="D2325">
        <v>-2.0699999999999998E-3</v>
      </c>
      <c r="E2325">
        <v>2.4299999999999999E-3</v>
      </c>
    </row>
    <row r="2326" spans="1:5" ht="14.25" customHeight="1">
      <c r="A2326" s="140">
        <v>43978</v>
      </c>
      <c r="B2326">
        <v>31605.22</v>
      </c>
      <c r="C2326">
        <v>428.75</v>
      </c>
      <c r="D2326">
        <v>3.202E-2</v>
      </c>
      <c r="E2326">
        <v>-1.044E-2</v>
      </c>
    </row>
    <row r="2327" spans="1:5" ht="14.25" customHeight="1">
      <c r="A2327" s="140">
        <v>43979</v>
      </c>
      <c r="B2327">
        <v>32200.59</v>
      </c>
      <c r="C2327">
        <v>448</v>
      </c>
      <c r="D2327">
        <v>1.866E-2</v>
      </c>
      <c r="E2327">
        <v>4.3920000000000001E-2</v>
      </c>
    </row>
    <row r="2328" spans="1:5" ht="14.25" customHeight="1">
      <c r="A2328" s="140">
        <v>43980</v>
      </c>
      <c r="B2328">
        <v>32424.1</v>
      </c>
      <c r="C2328">
        <v>466.6</v>
      </c>
      <c r="D2328">
        <v>6.9199999999999999E-3</v>
      </c>
      <c r="E2328">
        <v>4.0680000000000001E-2</v>
      </c>
    </row>
    <row r="2329" spans="1:5" ht="14.25" customHeight="1">
      <c r="A2329" s="140">
        <v>43983</v>
      </c>
      <c r="B2329">
        <v>33303.519999999997</v>
      </c>
      <c r="C2329">
        <v>469.15</v>
      </c>
      <c r="D2329">
        <v>2.6759999999999999E-2</v>
      </c>
      <c r="E2329">
        <v>5.45E-3</v>
      </c>
    </row>
    <row r="2330" spans="1:5" ht="14.25" customHeight="1">
      <c r="A2330" s="140">
        <v>43984</v>
      </c>
      <c r="B2330">
        <v>33825.53</v>
      </c>
      <c r="C2330">
        <v>460.8</v>
      </c>
      <c r="D2330">
        <v>1.555E-2</v>
      </c>
      <c r="E2330">
        <v>-1.796E-2</v>
      </c>
    </row>
    <row r="2331" spans="1:5" ht="14.25" customHeight="1">
      <c r="A2331" s="140">
        <v>43985</v>
      </c>
      <c r="B2331">
        <v>34109.54</v>
      </c>
      <c r="C2331">
        <v>463.15</v>
      </c>
      <c r="D2331">
        <v>8.3599999999999994E-3</v>
      </c>
      <c r="E2331">
        <v>5.0899999999999999E-3</v>
      </c>
    </row>
    <row r="2332" spans="1:5" ht="14.25" customHeight="1">
      <c r="A2332" s="140">
        <v>43986</v>
      </c>
      <c r="B2332">
        <v>33980.699999999997</v>
      </c>
      <c r="C2332">
        <v>462.35</v>
      </c>
      <c r="D2332">
        <v>-3.7799999999999999E-3</v>
      </c>
      <c r="E2332">
        <v>-1.73E-3</v>
      </c>
    </row>
    <row r="2333" spans="1:5" ht="14.25" customHeight="1">
      <c r="A2333" s="140">
        <v>43987</v>
      </c>
      <c r="B2333">
        <v>34287.24</v>
      </c>
      <c r="C2333">
        <v>462.65</v>
      </c>
      <c r="D2333">
        <v>8.9800000000000001E-3</v>
      </c>
      <c r="E2333">
        <v>6.4999999999999997E-4</v>
      </c>
    </row>
    <row r="2334" spans="1:5" ht="14.25" customHeight="1">
      <c r="A2334" s="140">
        <v>43990</v>
      </c>
      <c r="B2334">
        <v>34370.58</v>
      </c>
      <c r="C2334">
        <v>458.1</v>
      </c>
      <c r="D2334">
        <v>2.4299999999999999E-3</v>
      </c>
      <c r="E2334">
        <v>-9.8799999999999999E-3</v>
      </c>
    </row>
    <row r="2335" spans="1:5" ht="14.25" customHeight="1">
      <c r="A2335" s="140">
        <v>43991</v>
      </c>
      <c r="B2335">
        <v>33956.69</v>
      </c>
      <c r="C2335">
        <v>466.75</v>
      </c>
      <c r="D2335">
        <v>-1.2120000000000001E-2</v>
      </c>
      <c r="E2335">
        <v>1.8710000000000001E-2</v>
      </c>
    </row>
    <row r="2336" spans="1:5" ht="14.25" customHeight="1">
      <c r="A2336" s="140">
        <v>43992</v>
      </c>
      <c r="B2336">
        <v>34247.050000000003</v>
      </c>
      <c r="C2336">
        <v>461.5</v>
      </c>
      <c r="D2336">
        <v>8.5100000000000002E-3</v>
      </c>
      <c r="E2336">
        <v>-1.1310000000000001E-2</v>
      </c>
    </row>
    <row r="2337" spans="1:5" ht="14.25" customHeight="1">
      <c r="A2337" s="140">
        <v>43993</v>
      </c>
      <c r="B2337">
        <v>33538.370000000003</v>
      </c>
      <c r="C2337">
        <v>450.3</v>
      </c>
      <c r="D2337">
        <v>-2.0910000000000002E-2</v>
      </c>
      <c r="E2337">
        <v>-2.4570000000000002E-2</v>
      </c>
    </row>
    <row r="2338" spans="1:5" ht="14.25" customHeight="1">
      <c r="A2338" s="140">
        <v>43994</v>
      </c>
      <c r="B2338">
        <v>33780.89</v>
      </c>
      <c r="C2338">
        <v>455.6</v>
      </c>
      <c r="D2338">
        <v>7.2100000000000003E-3</v>
      </c>
      <c r="E2338">
        <v>1.17E-2</v>
      </c>
    </row>
    <row r="2339" spans="1:5" ht="14.25" customHeight="1">
      <c r="A2339" s="140">
        <v>43997</v>
      </c>
      <c r="B2339">
        <v>33228.800000000003</v>
      </c>
      <c r="C2339">
        <v>453.1</v>
      </c>
      <c r="D2339">
        <v>-1.6480000000000002E-2</v>
      </c>
      <c r="E2339">
        <v>-5.4999999999999997E-3</v>
      </c>
    </row>
    <row r="2340" spans="1:5" ht="14.25" customHeight="1">
      <c r="A2340" s="140">
        <v>43998</v>
      </c>
      <c r="B2340">
        <v>33605.22</v>
      </c>
      <c r="C2340">
        <v>448.55</v>
      </c>
      <c r="D2340">
        <v>1.1259999999999999E-2</v>
      </c>
      <c r="E2340">
        <v>-1.009E-2</v>
      </c>
    </row>
    <row r="2341" spans="1:5" ht="14.25" customHeight="1">
      <c r="A2341" s="140">
        <v>43999</v>
      </c>
      <c r="B2341">
        <v>33507.919999999998</v>
      </c>
      <c r="C2341">
        <v>440.45</v>
      </c>
      <c r="D2341">
        <v>-2.8999999999999998E-3</v>
      </c>
      <c r="E2341">
        <v>-1.822E-2</v>
      </c>
    </row>
    <row r="2342" spans="1:5" ht="14.25" customHeight="1">
      <c r="A2342" s="140">
        <v>44000</v>
      </c>
      <c r="B2342">
        <v>34208.050000000003</v>
      </c>
      <c r="C2342">
        <v>439.95</v>
      </c>
      <c r="D2342">
        <v>2.068E-2</v>
      </c>
      <c r="E2342">
        <v>-1.14E-3</v>
      </c>
    </row>
    <row r="2343" spans="1:5" ht="14.25" customHeight="1">
      <c r="A2343" s="140">
        <v>44001</v>
      </c>
      <c r="B2343">
        <v>34731.730000000003</v>
      </c>
      <c r="C2343">
        <v>443</v>
      </c>
      <c r="D2343">
        <v>1.519E-2</v>
      </c>
      <c r="E2343">
        <v>6.9100000000000003E-3</v>
      </c>
    </row>
    <row r="2344" spans="1:5" ht="14.25" customHeight="1">
      <c r="A2344" s="140">
        <v>44004</v>
      </c>
      <c r="B2344">
        <v>34911.32</v>
      </c>
      <c r="C2344">
        <v>443.15</v>
      </c>
      <c r="D2344">
        <v>5.1599999999999997E-3</v>
      </c>
      <c r="E2344">
        <v>3.4000000000000002E-4</v>
      </c>
    </row>
    <row r="2345" spans="1:5" ht="14.25" customHeight="1">
      <c r="A2345" s="140">
        <v>44005</v>
      </c>
      <c r="B2345">
        <v>35430.43</v>
      </c>
      <c r="C2345">
        <v>458.65</v>
      </c>
      <c r="D2345">
        <v>1.4760000000000001E-2</v>
      </c>
      <c r="E2345">
        <v>3.4380000000000001E-2</v>
      </c>
    </row>
    <row r="2346" spans="1:5" ht="14.25" customHeight="1">
      <c r="A2346" s="140">
        <v>44006</v>
      </c>
      <c r="B2346">
        <v>34868.980000000003</v>
      </c>
      <c r="C2346">
        <v>454.75</v>
      </c>
      <c r="D2346">
        <v>-1.5970000000000002E-2</v>
      </c>
      <c r="E2346">
        <v>-8.5400000000000007E-3</v>
      </c>
    </row>
    <row r="2347" spans="1:5" ht="14.25" customHeight="1">
      <c r="A2347" s="140">
        <v>44007</v>
      </c>
      <c r="B2347">
        <v>34842.1</v>
      </c>
      <c r="C2347">
        <v>459.2</v>
      </c>
      <c r="D2347">
        <v>-7.6999999999999996E-4</v>
      </c>
      <c r="E2347">
        <v>9.7400000000000004E-3</v>
      </c>
    </row>
    <row r="2348" spans="1:5" ht="14.25" customHeight="1">
      <c r="A2348" s="140">
        <v>44008</v>
      </c>
      <c r="B2348">
        <v>35171.269999999997</v>
      </c>
      <c r="C2348">
        <v>458.6</v>
      </c>
      <c r="D2348">
        <v>9.4000000000000004E-3</v>
      </c>
      <c r="E2348">
        <v>-1.31E-3</v>
      </c>
    </row>
    <row r="2349" spans="1:5" ht="14.25" customHeight="1">
      <c r="A2349" s="140">
        <v>44011</v>
      </c>
      <c r="B2349">
        <v>34961.519999999997</v>
      </c>
      <c r="C2349">
        <v>464</v>
      </c>
      <c r="D2349">
        <v>-5.9800000000000001E-3</v>
      </c>
      <c r="E2349">
        <v>1.171E-2</v>
      </c>
    </row>
    <row r="2350" spans="1:5" ht="14.25" customHeight="1">
      <c r="A2350" s="140">
        <v>44012</v>
      </c>
      <c r="B2350">
        <v>34915.800000000003</v>
      </c>
      <c r="C2350">
        <v>465.75</v>
      </c>
      <c r="D2350">
        <v>-1.31E-3</v>
      </c>
      <c r="E2350">
        <v>3.7599999999999999E-3</v>
      </c>
    </row>
    <row r="2351" spans="1:5" ht="14.25" customHeight="1">
      <c r="A2351" s="140">
        <v>44013</v>
      </c>
      <c r="B2351">
        <v>35414.449999999997</v>
      </c>
      <c r="C2351">
        <v>466.6</v>
      </c>
      <c r="D2351">
        <v>1.418E-2</v>
      </c>
      <c r="E2351">
        <v>1.82E-3</v>
      </c>
    </row>
    <row r="2352" spans="1:5" ht="14.25" customHeight="1">
      <c r="A2352" s="140">
        <v>44014</v>
      </c>
      <c r="B2352">
        <v>35843.699999999997</v>
      </c>
      <c r="C2352">
        <v>465.4</v>
      </c>
      <c r="D2352">
        <v>1.205E-2</v>
      </c>
      <c r="E2352">
        <v>-2.5799999999999998E-3</v>
      </c>
    </row>
    <row r="2353" spans="1:5" ht="14.25" customHeight="1">
      <c r="A2353" s="140">
        <v>44015</v>
      </c>
      <c r="B2353">
        <v>36021.42</v>
      </c>
      <c r="C2353">
        <v>467.15</v>
      </c>
      <c r="D2353">
        <v>4.9500000000000004E-3</v>
      </c>
      <c r="E2353">
        <v>3.7499999999999999E-3</v>
      </c>
    </row>
    <row r="2354" spans="1:5" ht="14.25" customHeight="1">
      <c r="A2354" s="140">
        <v>44018</v>
      </c>
      <c r="B2354">
        <v>36487.279999999999</v>
      </c>
      <c r="C2354">
        <v>465.95</v>
      </c>
      <c r="D2354">
        <v>1.285E-2</v>
      </c>
      <c r="E2354">
        <v>-2.5699999999999998E-3</v>
      </c>
    </row>
    <row r="2355" spans="1:5" ht="14.25" customHeight="1">
      <c r="A2355" s="140">
        <v>44019</v>
      </c>
      <c r="B2355">
        <v>36674.519999999997</v>
      </c>
      <c r="C2355">
        <v>478.5</v>
      </c>
      <c r="D2355">
        <v>5.1200000000000004E-3</v>
      </c>
      <c r="E2355">
        <v>2.6579999999999999E-2</v>
      </c>
    </row>
    <row r="2356" spans="1:5" ht="14.25" customHeight="1">
      <c r="A2356" s="140">
        <v>44020</v>
      </c>
      <c r="B2356">
        <v>36329.01</v>
      </c>
      <c r="C2356">
        <v>473.15</v>
      </c>
      <c r="D2356">
        <v>-9.4699999999999993E-3</v>
      </c>
      <c r="E2356">
        <v>-1.124E-2</v>
      </c>
    </row>
    <row r="2357" spans="1:5" ht="14.25" customHeight="1">
      <c r="A2357" s="140">
        <v>44021</v>
      </c>
      <c r="B2357">
        <v>36737.69</v>
      </c>
      <c r="C2357">
        <v>473.2</v>
      </c>
      <c r="D2357">
        <v>1.119E-2</v>
      </c>
      <c r="E2357">
        <v>1.1E-4</v>
      </c>
    </row>
    <row r="2358" spans="1:5" ht="14.25" customHeight="1">
      <c r="A2358" s="140">
        <v>44022</v>
      </c>
      <c r="B2358">
        <v>36594.33</v>
      </c>
      <c r="C2358">
        <v>474.15</v>
      </c>
      <c r="D2358">
        <v>-3.9100000000000003E-3</v>
      </c>
      <c r="E2358">
        <v>2.0100000000000001E-3</v>
      </c>
    </row>
    <row r="2359" spans="1:5" ht="14.25" customHeight="1">
      <c r="A2359" s="140">
        <v>44025</v>
      </c>
      <c r="B2359">
        <v>36693.69</v>
      </c>
      <c r="C2359">
        <v>484.4</v>
      </c>
      <c r="D2359">
        <v>2.7100000000000002E-3</v>
      </c>
      <c r="E2359">
        <v>2.1389999999999999E-2</v>
      </c>
    </row>
    <row r="2360" spans="1:5" ht="14.25" customHeight="1">
      <c r="A2360" s="140">
        <v>44026</v>
      </c>
      <c r="B2360">
        <v>36033.06</v>
      </c>
      <c r="C2360">
        <v>479.1</v>
      </c>
      <c r="D2360">
        <v>-1.8169999999999999E-2</v>
      </c>
      <c r="E2360">
        <v>-1.0999999999999999E-2</v>
      </c>
    </row>
    <row r="2361" spans="1:5" ht="14.25" customHeight="1">
      <c r="A2361" s="140">
        <v>44027</v>
      </c>
      <c r="B2361">
        <v>36051.81</v>
      </c>
      <c r="C2361">
        <v>479.6</v>
      </c>
      <c r="D2361">
        <v>5.1999999999999995E-4</v>
      </c>
      <c r="E2361">
        <v>1.0399999999999999E-3</v>
      </c>
    </row>
    <row r="2362" spans="1:5" ht="14.25" customHeight="1">
      <c r="A2362" s="140">
        <v>44028</v>
      </c>
      <c r="B2362">
        <v>36471.68</v>
      </c>
      <c r="C2362">
        <v>487.55</v>
      </c>
      <c r="D2362">
        <v>1.158E-2</v>
      </c>
      <c r="E2362">
        <v>1.644E-2</v>
      </c>
    </row>
    <row r="2363" spans="1:5" ht="14.25" customHeight="1">
      <c r="A2363" s="140">
        <v>44029</v>
      </c>
      <c r="B2363">
        <v>37020.14</v>
      </c>
      <c r="C2363">
        <v>490.55</v>
      </c>
      <c r="D2363">
        <v>1.4930000000000001E-2</v>
      </c>
      <c r="E2363">
        <v>6.13E-3</v>
      </c>
    </row>
    <row r="2364" spans="1:5" ht="14.25" customHeight="1">
      <c r="A2364" s="140">
        <v>44032</v>
      </c>
      <c r="B2364">
        <v>37418.99</v>
      </c>
      <c r="C2364">
        <v>501.1</v>
      </c>
      <c r="D2364">
        <v>1.072E-2</v>
      </c>
      <c r="E2364">
        <v>2.128E-2</v>
      </c>
    </row>
    <row r="2365" spans="1:5" ht="14.25" customHeight="1">
      <c r="A2365" s="140">
        <v>44033</v>
      </c>
      <c r="B2365">
        <v>37930.33</v>
      </c>
      <c r="C2365">
        <v>491.6</v>
      </c>
      <c r="D2365">
        <v>1.357E-2</v>
      </c>
      <c r="E2365">
        <v>-1.9140000000000001E-2</v>
      </c>
    </row>
    <row r="2366" spans="1:5" ht="14.25" customHeight="1">
      <c r="A2366" s="140">
        <v>44034</v>
      </c>
      <c r="B2366">
        <v>37871.519999999997</v>
      </c>
      <c r="C2366">
        <v>481.05</v>
      </c>
      <c r="D2366">
        <v>-1.5499999999999999E-3</v>
      </c>
      <c r="E2366">
        <v>-2.1690000000000001E-2</v>
      </c>
    </row>
    <row r="2367" spans="1:5" ht="14.25" customHeight="1">
      <c r="A2367" s="140">
        <v>44035</v>
      </c>
      <c r="B2367">
        <v>38140.47</v>
      </c>
      <c r="C2367">
        <v>479.4</v>
      </c>
      <c r="D2367">
        <v>7.0800000000000004E-3</v>
      </c>
      <c r="E2367">
        <v>-3.4399999999999999E-3</v>
      </c>
    </row>
    <row r="2368" spans="1:5" ht="14.25" customHeight="1">
      <c r="A2368" s="140">
        <v>44036</v>
      </c>
      <c r="B2368">
        <v>38128.9</v>
      </c>
      <c r="C2368">
        <v>471.3</v>
      </c>
      <c r="D2368">
        <v>-2.9999999999999997E-4</v>
      </c>
      <c r="E2368">
        <v>-1.704E-2</v>
      </c>
    </row>
    <row r="2369" spans="1:5" ht="14.25" customHeight="1">
      <c r="A2369" s="140">
        <v>44039</v>
      </c>
      <c r="B2369">
        <v>37934.730000000003</v>
      </c>
      <c r="C2369">
        <v>466.55</v>
      </c>
      <c r="D2369">
        <v>-5.11E-3</v>
      </c>
      <c r="E2369">
        <v>-1.013E-2</v>
      </c>
    </row>
    <row r="2370" spans="1:5" ht="14.25" customHeight="1">
      <c r="A2370" s="140">
        <v>44040</v>
      </c>
      <c r="B2370">
        <v>38492.949999999997</v>
      </c>
      <c r="C2370">
        <v>474.75</v>
      </c>
      <c r="D2370">
        <v>1.461E-2</v>
      </c>
      <c r="E2370">
        <v>1.7420000000000001E-2</v>
      </c>
    </row>
    <row r="2371" spans="1:5" ht="14.25" customHeight="1">
      <c r="A2371" s="140">
        <v>44041</v>
      </c>
      <c r="B2371">
        <v>38071.129999999997</v>
      </c>
      <c r="C2371">
        <v>489.9</v>
      </c>
      <c r="D2371">
        <v>-1.102E-2</v>
      </c>
      <c r="E2371">
        <v>3.141E-2</v>
      </c>
    </row>
    <row r="2372" spans="1:5" ht="14.25" customHeight="1">
      <c r="A2372" s="140">
        <v>44042</v>
      </c>
      <c r="B2372">
        <v>37736.07</v>
      </c>
      <c r="C2372">
        <v>492.6</v>
      </c>
      <c r="D2372">
        <v>-8.8400000000000006E-3</v>
      </c>
      <c r="E2372">
        <v>5.4999999999999997E-3</v>
      </c>
    </row>
    <row r="2373" spans="1:5" ht="14.25" customHeight="1">
      <c r="A2373" s="140">
        <v>44043</v>
      </c>
      <c r="B2373">
        <v>37606.89</v>
      </c>
      <c r="C2373">
        <v>513.45000000000005</v>
      </c>
      <c r="D2373">
        <v>-3.4299999999999999E-3</v>
      </c>
      <c r="E2373">
        <v>4.1459999999999997E-2</v>
      </c>
    </row>
    <row r="2374" spans="1:5" ht="14.25" customHeight="1">
      <c r="A2374" s="140">
        <v>44046</v>
      </c>
      <c r="B2374">
        <v>36939.599999999999</v>
      </c>
      <c r="C2374">
        <v>509.85</v>
      </c>
      <c r="D2374">
        <v>-1.7899999999999999E-2</v>
      </c>
      <c r="E2374">
        <v>-7.0400000000000003E-3</v>
      </c>
    </row>
    <row r="2375" spans="1:5" ht="14.25" customHeight="1">
      <c r="A2375" s="140">
        <v>44047</v>
      </c>
      <c r="B2375">
        <v>37687.910000000003</v>
      </c>
      <c r="C2375">
        <v>507</v>
      </c>
      <c r="D2375">
        <v>2.0060000000000001E-2</v>
      </c>
      <c r="E2375">
        <v>-5.6100000000000004E-3</v>
      </c>
    </row>
    <row r="2376" spans="1:5" ht="14.25" customHeight="1">
      <c r="A2376" s="140">
        <v>44048</v>
      </c>
      <c r="B2376">
        <v>37663.33</v>
      </c>
      <c r="C2376">
        <v>503</v>
      </c>
      <c r="D2376">
        <v>-6.4999999999999997E-4</v>
      </c>
      <c r="E2376">
        <v>-7.92E-3</v>
      </c>
    </row>
    <row r="2377" spans="1:5" ht="14.25" customHeight="1">
      <c r="A2377" s="140">
        <v>44049</v>
      </c>
      <c r="B2377">
        <v>38025.449999999997</v>
      </c>
      <c r="C2377">
        <v>506.85</v>
      </c>
      <c r="D2377">
        <v>9.5700000000000004E-3</v>
      </c>
      <c r="E2377">
        <v>7.62E-3</v>
      </c>
    </row>
    <row r="2378" spans="1:5" ht="14.25" customHeight="1">
      <c r="A2378" s="140">
        <v>44050</v>
      </c>
      <c r="B2378">
        <v>38040.57</v>
      </c>
      <c r="C2378">
        <v>511.95</v>
      </c>
      <c r="D2378">
        <v>4.0000000000000002E-4</v>
      </c>
      <c r="E2378">
        <v>1.001E-2</v>
      </c>
    </row>
    <row r="2379" spans="1:5" ht="14.25" customHeight="1">
      <c r="A2379" s="140">
        <v>44053</v>
      </c>
      <c r="B2379">
        <v>38182.080000000002</v>
      </c>
      <c r="C2379">
        <v>508.2</v>
      </c>
      <c r="D2379">
        <v>3.7100000000000002E-3</v>
      </c>
      <c r="E2379">
        <v>-7.3499999999999998E-3</v>
      </c>
    </row>
    <row r="2380" spans="1:5" ht="14.25" customHeight="1">
      <c r="A2380" s="140">
        <v>44054</v>
      </c>
      <c r="B2380">
        <v>38407.01</v>
      </c>
      <c r="C2380">
        <v>513.15</v>
      </c>
      <c r="D2380">
        <v>5.8700000000000002E-3</v>
      </c>
      <c r="E2380">
        <v>9.6900000000000007E-3</v>
      </c>
    </row>
    <row r="2381" spans="1:5" ht="14.25" customHeight="1">
      <c r="A2381" s="140">
        <v>44055</v>
      </c>
      <c r="B2381">
        <v>38369.629999999997</v>
      </c>
      <c r="C2381">
        <v>503.65</v>
      </c>
      <c r="D2381">
        <v>-9.7000000000000005E-4</v>
      </c>
      <c r="E2381">
        <v>-1.8689999999999998E-2</v>
      </c>
    </row>
    <row r="2382" spans="1:5" ht="14.25" customHeight="1">
      <c r="A2382" s="140">
        <v>44056</v>
      </c>
      <c r="B2382">
        <v>38310.49</v>
      </c>
      <c r="C2382">
        <v>497.65</v>
      </c>
      <c r="D2382">
        <v>-1.5399999999999999E-3</v>
      </c>
      <c r="E2382">
        <v>-1.1979999999999999E-2</v>
      </c>
    </row>
    <row r="2383" spans="1:5" ht="14.25" customHeight="1">
      <c r="A2383" s="140">
        <v>44057</v>
      </c>
      <c r="B2383">
        <v>37877.339999999997</v>
      </c>
      <c r="C2383">
        <v>496.4</v>
      </c>
      <c r="D2383">
        <v>-1.137E-2</v>
      </c>
      <c r="E2383">
        <v>-2.5100000000000001E-3</v>
      </c>
    </row>
    <row r="2384" spans="1:5" ht="14.25" customHeight="1">
      <c r="A2384" s="140">
        <v>44060</v>
      </c>
      <c r="B2384">
        <v>38050.78</v>
      </c>
      <c r="C2384">
        <v>495.5</v>
      </c>
      <c r="D2384">
        <v>4.5700000000000003E-3</v>
      </c>
      <c r="E2384">
        <v>-1.81E-3</v>
      </c>
    </row>
    <row r="2385" spans="1:5" ht="14.25" customHeight="1">
      <c r="A2385" s="140">
        <v>44061</v>
      </c>
      <c r="B2385">
        <v>38528.32</v>
      </c>
      <c r="C2385">
        <v>496.9</v>
      </c>
      <c r="D2385">
        <v>1.247E-2</v>
      </c>
      <c r="E2385">
        <v>2.82E-3</v>
      </c>
    </row>
    <row r="2386" spans="1:5" ht="14.25" customHeight="1">
      <c r="A2386" s="140">
        <v>44062</v>
      </c>
      <c r="B2386">
        <v>38614.79</v>
      </c>
      <c r="C2386">
        <v>494.2</v>
      </c>
      <c r="D2386">
        <v>2.2399999999999998E-3</v>
      </c>
      <c r="E2386">
        <v>-5.45E-3</v>
      </c>
    </row>
    <row r="2387" spans="1:5" ht="14.25" customHeight="1">
      <c r="A2387" s="140">
        <v>44063</v>
      </c>
      <c r="B2387">
        <v>38220.39</v>
      </c>
      <c r="C2387">
        <v>492.7</v>
      </c>
      <c r="D2387">
        <v>-1.027E-2</v>
      </c>
      <c r="E2387">
        <v>-3.0400000000000002E-3</v>
      </c>
    </row>
    <row r="2388" spans="1:5" ht="14.25" customHeight="1">
      <c r="A2388" s="140">
        <v>44064</v>
      </c>
      <c r="B2388">
        <v>38434.720000000001</v>
      </c>
      <c r="C2388">
        <v>491.95</v>
      </c>
      <c r="D2388">
        <v>5.5900000000000004E-3</v>
      </c>
      <c r="E2388">
        <v>-1.5200000000000001E-3</v>
      </c>
    </row>
    <row r="2389" spans="1:5" ht="14.25" customHeight="1">
      <c r="A2389" s="140">
        <v>44067</v>
      </c>
      <c r="B2389">
        <v>38799.08</v>
      </c>
      <c r="C2389">
        <v>490.75</v>
      </c>
      <c r="D2389">
        <v>9.4400000000000005E-3</v>
      </c>
      <c r="E2389">
        <v>-2.4399999999999999E-3</v>
      </c>
    </row>
    <row r="2390" spans="1:5" ht="14.25" customHeight="1">
      <c r="A2390" s="140">
        <v>44068</v>
      </c>
      <c r="B2390">
        <v>38843.879999999997</v>
      </c>
      <c r="C2390">
        <v>492.15</v>
      </c>
      <c r="D2390">
        <v>1.15E-3</v>
      </c>
      <c r="E2390">
        <v>2.8500000000000001E-3</v>
      </c>
    </row>
    <row r="2391" spans="1:5" ht="14.25" customHeight="1">
      <c r="A2391" s="140">
        <v>44069</v>
      </c>
      <c r="B2391">
        <v>39073.919999999998</v>
      </c>
      <c r="C2391">
        <v>495.95</v>
      </c>
      <c r="D2391">
        <v>5.8999999999999999E-3</v>
      </c>
      <c r="E2391">
        <v>7.6899999999999998E-3</v>
      </c>
    </row>
    <row r="2392" spans="1:5" ht="14.25" customHeight="1">
      <c r="A2392" s="140">
        <v>44070</v>
      </c>
      <c r="B2392">
        <v>39113.47</v>
      </c>
      <c r="C2392">
        <v>492.95</v>
      </c>
      <c r="D2392">
        <v>1.01E-3</v>
      </c>
      <c r="E2392">
        <v>-6.0699999999999999E-3</v>
      </c>
    </row>
    <row r="2393" spans="1:5" ht="14.25" customHeight="1">
      <c r="A2393" s="140">
        <v>44071</v>
      </c>
      <c r="B2393">
        <v>39467.31</v>
      </c>
      <c r="C2393">
        <v>488.95</v>
      </c>
      <c r="D2393">
        <v>9.0100000000000006E-3</v>
      </c>
      <c r="E2393">
        <v>-8.1499999999999993E-3</v>
      </c>
    </row>
    <row r="2394" spans="1:5" ht="14.25" customHeight="1">
      <c r="A2394" s="140">
        <v>44074</v>
      </c>
      <c r="B2394">
        <v>38628.29</v>
      </c>
      <c r="C2394">
        <v>475.05</v>
      </c>
      <c r="D2394">
        <v>-2.1489999999999999E-2</v>
      </c>
      <c r="E2394">
        <v>-2.8840000000000001E-2</v>
      </c>
    </row>
    <row r="2395" spans="1:5" ht="14.25" customHeight="1">
      <c r="A2395" s="140">
        <v>44075</v>
      </c>
      <c r="B2395">
        <v>38900.800000000003</v>
      </c>
      <c r="C2395">
        <v>488.5</v>
      </c>
      <c r="D2395">
        <v>7.0299999999999998E-3</v>
      </c>
      <c r="E2395">
        <v>2.792E-2</v>
      </c>
    </row>
    <row r="2396" spans="1:5" ht="14.25" customHeight="1">
      <c r="A2396" s="140">
        <v>44076</v>
      </c>
      <c r="B2396">
        <v>39086.03</v>
      </c>
      <c r="C2396">
        <v>489.45</v>
      </c>
      <c r="D2396">
        <v>4.7499999999999999E-3</v>
      </c>
      <c r="E2396">
        <v>1.9400000000000001E-3</v>
      </c>
    </row>
    <row r="2397" spans="1:5" ht="14.25" customHeight="1">
      <c r="A2397" s="140">
        <v>44077</v>
      </c>
      <c r="B2397">
        <v>38990.94</v>
      </c>
      <c r="C2397">
        <v>494.8</v>
      </c>
      <c r="D2397">
        <v>-2.4399999999999999E-3</v>
      </c>
      <c r="E2397">
        <v>1.0869999999999999E-2</v>
      </c>
    </row>
    <row r="2398" spans="1:5" ht="14.25" customHeight="1">
      <c r="A2398" s="140">
        <v>44078</v>
      </c>
      <c r="B2398">
        <v>38357.18</v>
      </c>
      <c r="C2398">
        <v>483.7</v>
      </c>
      <c r="D2398">
        <v>-1.6389999999999998E-2</v>
      </c>
      <c r="E2398">
        <v>-2.2689999999999998E-2</v>
      </c>
    </row>
    <row r="2399" spans="1:5" ht="14.25" customHeight="1">
      <c r="A2399" s="140">
        <v>44081</v>
      </c>
      <c r="B2399">
        <v>38417.230000000003</v>
      </c>
      <c r="C2399">
        <v>487.35</v>
      </c>
      <c r="D2399">
        <v>1.56E-3</v>
      </c>
      <c r="E2399">
        <v>7.5199999999999998E-3</v>
      </c>
    </row>
    <row r="2400" spans="1:5" ht="14.25" customHeight="1">
      <c r="A2400" s="140">
        <v>44082</v>
      </c>
      <c r="B2400">
        <v>38365.35</v>
      </c>
      <c r="C2400">
        <v>486.2</v>
      </c>
      <c r="D2400">
        <v>-1.3500000000000001E-3</v>
      </c>
      <c r="E2400">
        <v>-2.3600000000000001E-3</v>
      </c>
    </row>
    <row r="2401" spans="1:5" ht="14.25" customHeight="1">
      <c r="A2401" s="140">
        <v>44083</v>
      </c>
      <c r="B2401">
        <v>38193.919999999998</v>
      </c>
      <c r="C2401">
        <v>492.4</v>
      </c>
      <c r="D2401">
        <v>-4.4799999999999996E-3</v>
      </c>
      <c r="E2401">
        <v>1.2670000000000001E-2</v>
      </c>
    </row>
    <row r="2402" spans="1:5" ht="14.25" customHeight="1">
      <c r="A2402" s="140">
        <v>44084</v>
      </c>
      <c r="B2402">
        <v>38840.32</v>
      </c>
      <c r="C2402">
        <v>495.55</v>
      </c>
      <c r="D2402">
        <v>1.678E-2</v>
      </c>
      <c r="E2402">
        <v>6.3800000000000003E-3</v>
      </c>
    </row>
    <row r="2403" spans="1:5" ht="14.25" customHeight="1">
      <c r="A2403" s="140">
        <v>44085</v>
      </c>
      <c r="B2403">
        <v>38854.550000000003</v>
      </c>
      <c r="C2403">
        <v>507.85</v>
      </c>
      <c r="D2403">
        <v>3.6999999999999999E-4</v>
      </c>
      <c r="E2403">
        <v>2.452E-2</v>
      </c>
    </row>
    <row r="2404" spans="1:5" ht="14.25" customHeight="1">
      <c r="A2404" s="140">
        <v>44088</v>
      </c>
      <c r="B2404">
        <v>38756.629999999997</v>
      </c>
      <c r="C2404">
        <v>504.25</v>
      </c>
      <c r="D2404">
        <v>-2.5200000000000001E-3</v>
      </c>
      <c r="E2404">
        <v>-7.11E-3</v>
      </c>
    </row>
    <row r="2405" spans="1:5" ht="14.25" customHeight="1">
      <c r="A2405" s="140">
        <v>44089</v>
      </c>
      <c r="B2405">
        <v>39044.35</v>
      </c>
      <c r="C2405">
        <v>505.8</v>
      </c>
      <c r="D2405">
        <v>7.4000000000000003E-3</v>
      </c>
      <c r="E2405">
        <v>3.0699999999999998E-3</v>
      </c>
    </row>
    <row r="2406" spans="1:5" ht="14.25" customHeight="1">
      <c r="A2406" s="140">
        <v>44090</v>
      </c>
      <c r="B2406">
        <v>39302.85</v>
      </c>
      <c r="C2406">
        <v>509.65</v>
      </c>
      <c r="D2406">
        <v>6.6E-3</v>
      </c>
      <c r="E2406">
        <v>7.5799999999999999E-3</v>
      </c>
    </row>
    <row r="2407" spans="1:5" ht="14.25" customHeight="1">
      <c r="A2407" s="140">
        <v>44091</v>
      </c>
      <c r="B2407">
        <v>38979.85</v>
      </c>
      <c r="C2407">
        <v>502.35</v>
      </c>
      <c r="D2407">
        <v>-8.2500000000000004E-3</v>
      </c>
      <c r="E2407">
        <v>-1.443E-2</v>
      </c>
    </row>
    <row r="2408" spans="1:5" ht="14.25" customHeight="1">
      <c r="A2408" s="140">
        <v>44092</v>
      </c>
      <c r="B2408">
        <v>38845.82</v>
      </c>
      <c r="C2408">
        <v>507.85</v>
      </c>
      <c r="D2408">
        <v>-3.4399999999999999E-3</v>
      </c>
      <c r="E2408">
        <v>1.089E-2</v>
      </c>
    </row>
    <row r="2409" spans="1:5" ht="14.25" customHeight="1">
      <c r="A2409" s="140">
        <v>44095</v>
      </c>
      <c r="B2409">
        <v>38034.14</v>
      </c>
      <c r="C2409">
        <v>490.8</v>
      </c>
      <c r="D2409">
        <v>-2.112E-2</v>
      </c>
      <c r="E2409">
        <v>-3.415E-2</v>
      </c>
    </row>
    <row r="2410" spans="1:5" ht="14.25" customHeight="1">
      <c r="A2410" s="140">
        <v>44096</v>
      </c>
      <c r="B2410">
        <v>37734.080000000002</v>
      </c>
      <c r="C2410">
        <v>492.4</v>
      </c>
      <c r="D2410">
        <v>-7.92E-3</v>
      </c>
      <c r="E2410">
        <v>3.2499999999999999E-3</v>
      </c>
    </row>
    <row r="2411" spans="1:5" ht="14.25" customHeight="1">
      <c r="A2411" s="140">
        <v>44097</v>
      </c>
      <c r="B2411">
        <v>37668.42</v>
      </c>
      <c r="C2411">
        <v>486.05</v>
      </c>
      <c r="D2411">
        <v>-1.74E-3</v>
      </c>
      <c r="E2411">
        <v>-1.298E-2</v>
      </c>
    </row>
    <row r="2412" spans="1:5" ht="14.25" customHeight="1">
      <c r="A2412" s="140">
        <v>44098</v>
      </c>
      <c r="B2412">
        <v>36553.599999999999</v>
      </c>
      <c r="C2412">
        <v>486.7</v>
      </c>
      <c r="D2412">
        <v>-3.0040000000000001E-2</v>
      </c>
      <c r="E2412">
        <v>1.34E-3</v>
      </c>
    </row>
    <row r="2413" spans="1:5" ht="14.25" customHeight="1">
      <c r="A2413" s="140">
        <v>44099</v>
      </c>
      <c r="B2413">
        <v>37388.660000000003</v>
      </c>
      <c r="C2413">
        <v>492.4</v>
      </c>
      <c r="D2413">
        <v>2.2589999999999999E-2</v>
      </c>
      <c r="E2413">
        <v>1.1639999999999999E-2</v>
      </c>
    </row>
    <row r="2414" spans="1:5" ht="14.25" customHeight="1">
      <c r="A2414" s="140">
        <v>44102</v>
      </c>
      <c r="B2414">
        <v>37981.629999999997</v>
      </c>
      <c r="C2414">
        <v>503</v>
      </c>
      <c r="D2414">
        <v>1.5740000000000001E-2</v>
      </c>
      <c r="E2414">
        <v>2.1299999999999999E-2</v>
      </c>
    </row>
    <row r="2415" spans="1:5" ht="14.25" customHeight="1">
      <c r="A2415" s="140">
        <v>44103</v>
      </c>
      <c r="B2415">
        <v>37973.22</v>
      </c>
      <c r="C2415">
        <v>496.95</v>
      </c>
      <c r="D2415">
        <v>-2.2000000000000001E-4</v>
      </c>
      <c r="E2415">
        <v>-1.21E-2</v>
      </c>
    </row>
    <row r="2416" spans="1:5" ht="14.25" customHeight="1">
      <c r="A2416" s="140">
        <v>44104</v>
      </c>
      <c r="B2416">
        <v>38067.93</v>
      </c>
      <c r="C2416">
        <v>510.7</v>
      </c>
      <c r="D2416">
        <v>2.49E-3</v>
      </c>
      <c r="E2416">
        <v>2.7289999999999998E-2</v>
      </c>
    </row>
    <row r="2417" spans="1:5" ht="14.25" customHeight="1">
      <c r="A2417" s="140">
        <v>44105</v>
      </c>
      <c r="B2417">
        <v>38697.050000000003</v>
      </c>
      <c r="C2417">
        <v>513.65</v>
      </c>
      <c r="D2417">
        <v>1.6389999999999998E-2</v>
      </c>
      <c r="E2417">
        <v>5.7600000000000004E-3</v>
      </c>
    </row>
    <row r="2418" spans="1:5" ht="14.25" customHeight="1">
      <c r="A2418" s="140">
        <v>44109</v>
      </c>
      <c r="B2418">
        <v>38973.699999999997</v>
      </c>
      <c r="C2418">
        <v>520.04999999999995</v>
      </c>
      <c r="D2418">
        <v>7.1199999999999996E-3</v>
      </c>
      <c r="E2418">
        <v>1.238E-2</v>
      </c>
    </row>
    <row r="2419" spans="1:5" ht="14.25" customHeight="1">
      <c r="A2419" s="140">
        <v>44110</v>
      </c>
      <c r="B2419">
        <v>39574.57</v>
      </c>
      <c r="C2419">
        <v>526.5</v>
      </c>
      <c r="D2419">
        <v>1.5299999999999999E-2</v>
      </c>
      <c r="E2419">
        <v>1.2330000000000001E-2</v>
      </c>
    </row>
    <row r="2420" spans="1:5" ht="14.25" customHeight="1">
      <c r="A2420" s="140">
        <v>44111</v>
      </c>
      <c r="B2420">
        <v>39878.949999999997</v>
      </c>
      <c r="C2420">
        <v>524</v>
      </c>
      <c r="D2420">
        <v>7.6600000000000001E-3</v>
      </c>
      <c r="E2420">
        <v>-4.7600000000000003E-3</v>
      </c>
    </row>
    <row r="2421" spans="1:5" ht="14.25" customHeight="1">
      <c r="A2421" s="140">
        <v>44112</v>
      </c>
      <c r="B2421">
        <v>40182.67</v>
      </c>
      <c r="C2421">
        <v>522.25</v>
      </c>
      <c r="D2421">
        <v>7.5900000000000004E-3</v>
      </c>
      <c r="E2421">
        <v>-3.3500000000000001E-3</v>
      </c>
    </row>
    <row r="2422" spans="1:5" ht="14.25" customHeight="1">
      <c r="A2422" s="140">
        <v>44113</v>
      </c>
      <c r="B2422">
        <v>40509.49</v>
      </c>
      <c r="C2422">
        <v>518.9</v>
      </c>
      <c r="D2422">
        <v>8.0999999999999996E-3</v>
      </c>
      <c r="E2422">
        <v>-6.4400000000000004E-3</v>
      </c>
    </row>
    <row r="2423" spans="1:5" ht="14.25" customHeight="1">
      <c r="A2423" s="140">
        <v>44116</v>
      </c>
      <c r="B2423">
        <v>40593.800000000003</v>
      </c>
      <c r="C2423">
        <v>515.6</v>
      </c>
      <c r="D2423">
        <v>2.0799999999999998E-3</v>
      </c>
      <c r="E2423">
        <v>-6.3800000000000003E-3</v>
      </c>
    </row>
    <row r="2424" spans="1:5" ht="14.25" customHeight="1">
      <c r="A2424" s="140">
        <v>44117</v>
      </c>
      <c r="B2424">
        <v>40625.51</v>
      </c>
      <c r="C2424">
        <v>514.25</v>
      </c>
      <c r="D2424">
        <v>7.7999999999999999E-4</v>
      </c>
      <c r="E2424">
        <v>-2.6199999999999999E-3</v>
      </c>
    </row>
    <row r="2425" spans="1:5" ht="14.25" customHeight="1">
      <c r="A2425" s="140">
        <v>44118</v>
      </c>
      <c r="B2425">
        <v>40794.74</v>
      </c>
      <c r="C2425">
        <v>517</v>
      </c>
      <c r="D2425">
        <v>4.1599999999999996E-3</v>
      </c>
      <c r="E2425">
        <v>5.3299999999999997E-3</v>
      </c>
    </row>
    <row r="2426" spans="1:5" ht="14.25" customHeight="1">
      <c r="A2426" s="140">
        <v>44119</v>
      </c>
      <c r="B2426">
        <v>39728.410000000003</v>
      </c>
      <c r="C2426">
        <v>517.35</v>
      </c>
      <c r="D2426">
        <v>-2.649E-2</v>
      </c>
      <c r="E2426">
        <v>6.8000000000000005E-4</v>
      </c>
    </row>
    <row r="2427" spans="1:5" ht="14.25" customHeight="1">
      <c r="A2427" s="140">
        <v>44120</v>
      </c>
      <c r="B2427">
        <v>39982.980000000003</v>
      </c>
      <c r="C2427">
        <v>512.04999999999995</v>
      </c>
      <c r="D2427">
        <v>6.3899999999999998E-3</v>
      </c>
      <c r="E2427">
        <v>-1.03E-2</v>
      </c>
    </row>
    <row r="2428" spans="1:5" ht="14.25" customHeight="1">
      <c r="A2428" s="140">
        <v>44123</v>
      </c>
      <c r="B2428">
        <v>40431.599999999999</v>
      </c>
      <c r="C2428">
        <v>519.6</v>
      </c>
      <c r="D2428">
        <v>1.116E-2</v>
      </c>
      <c r="E2428">
        <v>1.464E-2</v>
      </c>
    </row>
    <row r="2429" spans="1:5" ht="14.25" customHeight="1">
      <c r="A2429" s="140">
        <v>44124</v>
      </c>
      <c r="B2429">
        <v>40544.370000000003</v>
      </c>
      <c r="C2429">
        <v>528.04999999999995</v>
      </c>
      <c r="D2429">
        <v>2.7899999999999999E-3</v>
      </c>
      <c r="E2429">
        <v>1.6129999999999999E-2</v>
      </c>
    </row>
    <row r="2430" spans="1:5" ht="14.25" customHeight="1">
      <c r="A2430" s="140">
        <v>44125</v>
      </c>
      <c r="B2430">
        <v>40707.31</v>
      </c>
      <c r="C2430">
        <v>515.79999999999995</v>
      </c>
      <c r="D2430">
        <v>4.0099999999999997E-3</v>
      </c>
      <c r="E2430">
        <v>-2.3470000000000001E-2</v>
      </c>
    </row>
    <row r="2431" spans="1:5" ht="14.25" customHeight="1">
      <c r="A2431" s="140">
        <v>44126</v>
      </c>
      <c r="B2431">
        <v>40558.49</v>
      </c>
      <c r="C2431">
        <v>507.3</v>
      </c>
      <c r="D2431">
        <v>-3.6600000000000001E-3</v>
      </c>
      <c r="E2431">
        <v>-1.6619999999999999E-2</v>
      </c>
    </row>
    <row r="2432" spans="1:5" ht="14.25" customHeight="1">
      <c r="A2432" s="140">
        <v>44127</v>
      </c>
      <c r="B2432">
        <v>40685.5</v>
      </c>
      <c r="C2432">
        <v>518.95000000000005</v>
      </c>
      <c r="D2432">
        <v>3.13E-3</v>
      </c>
      <c r="E2432">
        <v>2.2700000000000001E-2</v>
      </c>
    </row>
    <row r="2433" spans="1:5" ht="14.25" customHeight="1">
      <c r="A2433" s="140">
        <v>44130</v>
      </c>
      <c r="B2433">
        <v>40145.5</v>
      </c>
      <c r="C2433">
        <v>513.79999999999995</v>
      </c>
      <c r="D2433">
        <v>-1.336E-2</v>
      </c>
      <c r="E2433">
        <v>-9.9699999999999997E-3</v>
      </c>
    </row>
    <row r="2434" spans="1:5" ht="14.25" customHeight="1">
      <c r="A2434" s="140">
        <v>44131</v>
      </c>
      <c r="B2434">
        <v>40522.1</v>
      </c>
      <c r="C2434">
        <v>522.95000000000005</v>
      </c>
      <c r="D2434">
        <v>9.3399999999999993E-3</v>
      </c>
      <c r="E2434">
        <v>1.7649999999999999E-2</v>
      </c>
    </row>
    <row r="2435" spans="1:5" ht="14.25" customHeight="1">
      <c r="A2435" s="140">
        <v>44132</v>
      </c>
      <c r="B2435">
        <v>39922.46</v>
      </c>
      <c r="C2435">
        <v>516.70000000000005</v>
      </c>
      <c r="D2435">
        <v>-1.491E-2</v>
      </c>
      <c r="E2435">
        <v>-1.2019999999999999E-2</v>
      </c>
    </row>
    <row r="2436" spans="1:5" ht="14.25" customHeight="1">
      <c r="A2436" s="140">
        <v>44133</v>
      </c>
      <c r="B2436">
        <v>39749.85</v>
      </c>
      <c r="C2436">
        <v>519.75</v>
      </c>
      <c r="D2436">
        <v>-4.3299999999999996E-3</v>
      </c>
      <c r="E2436">
        <v>5.8900000000000003E-3</v>
      </c>
    </row>
    <row r="2437" spans="1:5" ht="14.25" customHeight="1">
      <c r="A2437" s="140">
        <v>44134</v>
      </c>
      <c r="B2437">
        <v>39614.07</v>
      </c>
      <c r="C2437">
        <v>511.55</v>
      </c>
      <c r="D2437">
        <v>-3.4199999999999999E-3</v>
      </c>
      <c r="E2437">
        <v>-1.5900000000000001E-2</v>
      </c>
    </row>
    <row r="2438" spans="1:5" ht="14.25" customHeight="1">
      <c r="A2438" s="140">
        <v>44137</v>
      </c>
      <c r="B2438">
        <v>39757.58</v>
      </c>
      <c r="C2438">
        <v>506.15</v>
      </c>
      <c r="D2438">
        <v>3.62E-3</v>
      </c>
      <c r="E2438">
        <v>-1.061E-2</v>
      </c>
    </row>
    <row r="2439" spans="1:5" ht="14.25" customHeight="1">
      <c r="A2439" s="140">
        <v>44138</v>
      </c>
      <c r="B2439">
        <v>40261.129999999997</v>
      </c>
      <c r="C2439">
        <v>515.45000000000005</v>
      </c>
      <c r="D2439">
        <v>1.259E-2</v>
      </c>
      <c r="E2439">
        <v>1.821E-2</v>
      </c>
    </row>
    <row r="2440" spans="1:5" ht="14.25" customHeight="1">
      <c r="A2440" s="140">
        <v>44139</v>
      </c>
      <c r="B2440">
        <v>40616.14</v>
      </c>
      <c r="C2440">
        <v>518.35</v>
      </c>
      <c r="D2440">
        <v>8.7799999999999996E-3</v>
      </c>
      <c r="E2440">
        <v>5.6100000000000004E-3</v>
      </c>
    </row>
    <row r="2441" spans="1:5" ht="14.25" customHeight="1">
      <c r="A2441" s="140">
        <v>44140</v>
      </c>
      <c r="B2441">
        <v>41340.160000000003</v>
      </c>
      <c r="C2441">
        <v>519.75</v>
      </c>
      <c r="D2441">
        <v>1.7670000000000002E-2</v>
      </c>
      <c r="E2441">
        <v>2.7000000000000001E-3</v>
      </c>
    </row>
    <row r="2442" spans="1:5" ht="14.25" customHeight="1">
      <c r="A2442" s="140">
        <v>44141</v>
      </c>
      <c r="B2442">
        <v>41893.06</v>
      </c>
      <c r="C2442">
        <v>527.15</v>
      </c>
      <c r="D2442">
        <v>1.329E-2</v>
      </c>
      <c r="E2442">
        <v>1.414E-2</v>
      </c>
    </row>
    <row r="2443" spans="1:5" ht="14.25" customHeight="1">
      <c r="A2443" s="140">
        <v>44144</v>
      </c>
      <c r="B2443">
        <v>42597.43</v>
      </c>
      <c r="C2443">
        <v>527</v>
      </c>
      <c r="D2443">
        <v>1.6670000000000001E-2</v>
      </c>
      <c r="E2443">
        <v>-2.7999999999999998E-4</v>
      </c>
    </row>
    <row r="2444" spans="1:5" ht="14.25" customHeight="1">
      <c r="A2444" s="140">
        <v>44145</v>
      </c>
      <c r="B2444">
        <v>43277.65</v>
      </c>
      <c r="C2444">
        <v>515.1</v>
      </c>
      <c r="D2444">
        <v>1.584E-2</v>
      </c>
      <c r="E2444">
        <v>-2.2839999999999999E-2</v>
      </c>
    </row>
    <row r="2445" spans="1:5" ht="14.25" customHeight="1">
      <c r="A2445" s="140">
        <v>44146</v>
      </c>
      <c r="B2445">
        <v>43593.67</v>
      </c>
      <c r="C2445">
        <v>510</v>
      </c>
      <c r="D2445">
        <v>7.28E-3</v>
      </c>
      <c r="E2445">
        <v>-9.9500000000000005E-3</v>
      </c>
    </row>
    <row r="2446" spans="1:5" ht="14.25" customHeight="1">
      <c r="A2446" s="140">
        <v>44147</v>
      </c>
      <c r="B2446">
        <v>43357.19</v>
      </c>
      <c r="C2446">
        <v>518.25</v>
      </c>
      <c r="D2446">
        <v>-5.4400000000000004E-3</v>
      </c>
      <c r="E2446">
        <v>1.6049999999999998E-2</v>
      </c>
    </row>
    <row r="2447" spans="1:5" ht="14.25" customHeight="1">
      <c r="A2447" s="140">
        <v>44148</v>
      </c>
      <c r="B2447">
        <v>43443</v>
      </c>
      <c r="C2447">
        <v>515.35</v>
      </c>
      <c r="D2447">
        <v>1.98E-3</v>
      </c>
      <c r="E2447">
        <v>-5.6100000000000004E-3</v>
      </c>
    </row>
    <row r="2448" spans="1:5" ht="14.25" customHeight="1">
      <c r="A2448" s="140">
        <v>44149</v>
      </c>
      <c r="B2448">
        <v>43637.98</v>
      </c>
      <c r="C2448">
        <v>517.6</v>
      </c>
      <c r="D2448">
        <v>4.4799999999999996E-3</v>
      </c>
      <c r="E2448">
        <v>4.3600000000000002E-3</v>
      </c>
    </row>
    <row r="2449" spans="1:5" ht="14.25" customHeight="1">
      <c r="A2449" s="140">
        <v>44152</v>
      </c>
      <c r="B2449">
        <v>43952.71</v>
      </c>
      <c r="C2449">
        <v>511.5</v>
      </c>
      <c r="D2449">
        <v>7.1900000000000002E-3</v>
      </c>
      <c r="E2449">
        <v>-1.1860000000000001E-2</v>
      </c>
    </row>
    <row r="2450" spans="1:5" ht="14.25" customHeight="1">
      <c r="A2450" s="140">
        <v>44153</v>
      </c>
      <c r="B2450">
        <v>44180.05</v>
      </c>
      <c r="C2450">
        <v>505.1</v>
      </c>
      <c r="D2450">
        <v>5.1599999999999997E-3</v>
      </c>
      <c r="E2450">
        <v>-1.259E-2</v>
      </c>
    </row>
    <row r="2451" spans="1:5" ht="14.25" customHeight="1">
      <c r="A2451" s="140">
        <v>44154</v>
      </c>
      <c r="B2451">
        <v>43599.96</v>
      </c>
      <c r="C2451">
        <v>507.45</v>
      </c>
      <c r="D2451">
        <v>-1.3220000000000001E-2</v>
      </c>
      <c r="E2451">
        <v>4.64E-3</v>
      </c>
    </row>
    <row r="2452" spans="1:5" ht="14.25" customHeight="1">
      <c r="A2452" s="140">
        <v>44155</v>
      </c>
      <c r="B2452">
        <v>43882.25</v>
      </c>
      <c r="C2452">
        <v>508.3</v>
      </c>
      <c r="D2452">
        <v>6.45E-3</v>
      </c>
      <c r="E2452">
        <v>1.67E-3</v>
      </c>
    </row>
    <row r="2453" spans="1:5" ht="14.25" customHeight="1">
      <c r="A2453" s="140">
        <v>44158</v>
      </c>
      <c r="B2453">
        <v>44077.15</v>
      </c>
      <c r="C2453">
        <v>508.95</v>
      </c>
      <c r="D2453">
        <v>4.4299999999999999E-3</v>
      </c>
      <c r="E2453">
        <v>1.2800000000000001E-3</v>
      </c>
    </row>
    <row r="2454" spans="1:5" ht="14.25" customHeight="1">
      <c r="A2454" s="140">
        <v>44159</v>
      </c>
      <c r="B2454">
        <v>44523.02</v>
      </c>
      <c r="C2454">
        <v>508</v>
      </c>
      <c r="D2454">
        <v>1.0059999999999999E-2</v>
      </c>
      <c r="E2454">
        <v>-1.8699999999999999E-3</v>
      </c>
    </row>
    <row r="2455" spans="1:5" ht="14.25" customHeight="1">
      <c r="A2455" s="140">
        <v>44160</v>
      </c>
      <c r="B2455">
        <v>43828.1</v>
      </c>
      <c r="C2455">
        <v>500.9</v>
      </c>
      <c r="D2455">
        <v>-1.5730000000000001E-2</v>
      </c>
      <c r="E2455">
        <v>-1.4069999999999999E-2</v>
      </c>
    </row>
    <row r="2456" spans="1:5" ht="14.25" customHeight="1">
      <c r="A2456" s="140">
        <v>44161</v>
      </c>
      <c r="B2456">
        <v>44259.74</v>
      </c>
      <c r="C2456">
        <v>504.15</v>
      </c>
      <c r="D2456">
        <v>9.7999999999999997E-3</v>
      </c>
      <c r="E2456">
        <v>6.4700000000000001E-3</v>
      </c>
    </row>
    <row r="2457" spans="1:5" ht="14.25" customHeight="1">
      <c r="A2457" s="140">
        <v>44162</v>
      </c>
      <c r="B2457">
        <v>44149.72</v>
      </c>
      <c r="C2457">
        <v>499.6</v>
      </c>
      <c r="D2457">
        <v>-2.49E-3</v>
      </c>
      <c r="E2457">
        <v>-9.0699999999999999E-3</v>
      </c>
    </row>
    <row r="2458" spans="1:5" ht="14.25" customHeight="1">
      <c r="A2458" s="140">
        <v>44166</v>
      </c>
      <c r="B2458">
        <v>44655.44</v>
      </c>
      <c r="C2458">
        <v>505.95</v>
      </c>
      <c r="D2458">
        <v>1.1390000000000001E-2</v>
      </c>
      <c r="E2458">
        <v>1.2630000000000001E-2</v>
      </c>
    </row>
    <row r="2459" spans="1:5" ht="14.25" customHeight="1">
      <c r="A2459" s="140">
        <v>44167</v>
      </c>
      <c r="B2459">
        <v>44618.04</v>
      </c>
      <c r="C2459">
        <v>502.3</v>
      </c>
      <c r="D2459">
        <v>-8.4000000000000003E-4</v>
      </c>
      <c r="E2459">
        <v>-7.2399999999999999E-3</v>
      </c>
    </row>
    <row r="2460" spans="1:5" ht="14.25" customHeight="1">
      <c r="A2460" s="140">
        <v>44168</v>
      </c>
      <c r="B2460">
        <v>44632.65</v>
      </c>
      <c r="C2460">
        <v>501.3</v>
      </c>
      <c r="D2460">
        <v>3.3E-4</v>
      </c>
      <c r="E2460">
        <v>-1.99E-3</v>
      </c>
    </row>
    <row r="2461" spans="1:5" ht="14.25" customHeight="1">
      <c r="A2461" s="140">
        <v>44169</v>
      </c>
      <c r="B2461">
        <v>45079.55</v>
      </c>
      <c r="C2461">
        <v>502.5</v>
      </c>
      <c r="D2461">
        <v>9.9600000000000001E-3</v>
      </c>
      <c r="E2461">
        <v>2.3900000000000002E-3</v>
      </c>
    </row>
    <row r="2462" spans="1:5" ht="14.25" customHeight="1">
      <c r="A2462" s="140">
        <v>44172</v>
      </c>
      <c r="B2462">
        <v>45426.97</v>
      </c>
      <c r="C2462">
        <v>501.95</v>
      </c>
      <c r="D2462">
        <v>7.6800000000000002E-3</v>
      </c>
      <c r="E2462">
        <v>-1.1000000000000001E-3</v>
      </c>
    </row>
    <row r="2463" spans="1:5" ht="14.25" customHeight="1">
      <c r="A2463" s="140">
        <v>44173</v>
      </c>
      <c r="B2463">
        <v>45608.51</v>
      </c>
      <c r="C2463">
        <v>502.75</v>
      </c>
      <c r="D2463">
        <v>3.9899999999999996E-3</v>
      </c>
      <c r="E2463">
        <v>1.5900000000000001E-3</v>
      </c>
    </row>
    <row r="2464" spans="1:5" ht="14.25" customHeight="1">
      <c r="A2464" s="140">
        <v>44174</v>
      </c>
      <c r="B2464">
        <v>46103.5</v>
      </c>
      <c r="C2464">
        <v>502.05</v>
      </c>
      <c r="D2464">
        <v>1.0789999999999999E-2</v>
      </c>
      <c r="E2464">
        <v>-1.39E-3</v>
      </c>
    </row>
    <row r="2465" spans="1:5" ht="14.25" customHeight="1">
      <c r="A2465" s="140">
        <v>44175</v>
      </c>
      <c r="B2465">
        <v>45959.88</v>
      </c>
      <c r="C2465">
        <v>514.25</v>
      </c>
      <c r="D2465">
        <v>-3.1199999999999999E-3</v>
      </c>
      <c r="E2465">
        <v>2.401E-2</v>
      </c>
    </row>
    <row r="2466" spans="1:5" ht="14.25" customHeight="1">
      <c r="A2466" s="140">
        <v>44176</v>
      </c>
      <c r="B2466">
        <v>46099.01</v>
      </c>
      <c r="C2466">
        <v>513.79999999999995</v>
      </c>
      <c r="D2466">
        <v>3.0200000000000001E-3</v>
      </c>
      <c r="E2466">
        <v>-8.8000000000000003E-4</v>
      </c>
    </row>
    <row r="2467" spans="1:5" ht="14.25" customHeight="1">
      <c r="A2467" s="140">
        <v>44179</v>
      </c>
      <c r="B2467">
        <v>46253.46</v>
      </c>
      <c r="C2467">
        <v>513.29999999999995</v>
      </c>
      <c r="D2467">
        <v>3.3400000000000001E-3</v>
      </c>
      <c r="E2467">
        <v>-9.7000000000000005E-4</v>
      </c>
    </row>
    <row r="2468" spans="1:5" ht="14.25" customHeight="1">
      <c r="A2468" s="140">
        <v>44180</v>
      </c>
      <c r="B2468">
        <v>46263.17</v>
      </c>
      <c r="C2468">
        <v>514</v>
      </c>
      <c r="D2468">
        <v>2.1000000000000001E-4</v>
      </c>
      <c r="E2468">
        <v>1.3600000000000001E-3</v>
      </c>
    </row>
    <row r="2469" spans="1:5" ht="14.25" customHeight="1">
      <c r="A2469" s="140">
        <v>44181</v>
      </c>
      <c r="B2469">
        <v>46666.46</v>
      </c>
      <c r="C2469">
        <v>513.65</v>
      </c>
      <c r="D2469">
        <v>8.6800000000000002E-3</v>
      </c>
      <c r="E2469">
        <v>-6.8000000000000005E-4</v>
      </c>
    </row>
    <row r="2470" spans="1:5" ht="14.25" customHeight="1">
      <c r="A2470" s="140">
        <v>44182</v>
      </c>
      <c r="B2470">
        <v>46890.34</v>
      </c>
      <c r="C2470">
        <v>511.2</v>
      </c>
      <c r="D2470">
        <v>4.79E-3</v>
      </c>
      <c r="E2470">
        <v>-4.7800000000000004E-3</v>
      </c>
    </row>
    <row r="2471" spans="1:5" ht="14.25" customHeight="1">
      <c r="A2471" s="140">
        <v>44183</v>
      </c>
      <c r="B2471">
        <v>46960.69</v>
      </c>
      <c r="C2471">
        <v>509.15</v>
      </c>
      <c r="D2471">
        <v>1.5E-3</v>
      </c>
      <c r="E2471">
        <v>-4.0200000000000001E-3</v>
      </c>
    </row>
    <row r="2472" spans="1:5" ht="14.25" customHeight="1">
      <c r="A2472" s="140">
        <v>44186</v>
      </c>
      <c r="B2472">
        <v>45553.96</v>
      </c>
      <c r="C2472">
        <v>503.65</v>
      </c>
      <c r="D2472">
        <v>-3.041E-2</v>
      </c>
      <c r="E2472">
        <v>-1.086E-2</v>
      </c>
    </row>
    <row r="2473" spans="1:5" ht="14.25" customHeight="1">
      <c r="A2473" s="140">
        <v>44187</v>
      </c>
      <c r="B2473">
        <v>46006.69</v>
      </c>
      <c r="C2473">
        <v>503.8</v>
      </c>
      <c r="D2473">
        <v>9.8899999999999995E-3</v>
      </c>
      <c r="E2473">
        <v>2.9999999999999997E-4</v>
      </c>
    </row>
    <row r="2474" spans="1:5" ht="14.25" customHeight="1">
      <c r="A2474" s="140">
        <v>44188</v>
      </c>
      <c r="B2474">
        <v>46444.18</v>
      </c>
      <c r="C2474">
        <v>510.5</v>
      </c>
      <c r="D2474">
        <v>9.4599999999999997E-3</v>
      </c>
      <c r="E2474">
        <v>1.321E-2</v>
      </c>
    </row>
    <row r="2475" spans="1:5" ht="14.25" customHeight="1">
      <c r="A2475" s="140">
        <v>44189</v>
      </c>
      <c r="B2475">
        <v>46973.54</v>
      </c>
      <c r="C2475">
        <v>514.4</v>
      </c>
      <c r="D2475">
        <v>1.133E-2</v>
      </c>
      <c r="E2475">
        <v>7.6099999999999996E-3</v>
      </c>
    </row>
    <row r="2476" spans="1:5" ht="14.25" customHeight="1">
      <c r="A2476" s="140">
        <v>44193</v>
      </c>
      <c r="B2476">
        <v>47353.75</v>
      </c>
      <c r="C2476">
        <v>525.35</v>
      </c>
      <c r="D2476">
        <v>8.0599999999999995E-3</v>
      </c>
      <c r="E2476">
        <v>2.1059999999999999E-2</v>
      </c>
    </row>
    <row r="2477" spans="1:5" ht="14.25" customHeight="1">
      <c r="A2477" s="140">
        <v>44194</v>
      </c>
      <c r="B2477">
        <v>47613.08</v>
      </c>
      <c r="C2477">
        <v>528.79999999999995</v>
      </c>
      <c r="D2477">
        <v>5.4599999999999996E-3</v>
      </c>
      <c r="E2477">
        <v>6.5500000000000003E-3</v>
      </c>
    </row>
    <row r="2478" spans="1:5" ht="14.25" customHeight="1">
      <c r="A2478" s="140">
        <v>44195</v>
      </c>
      <c r="B2478">
        <v>47746.22</v>
      </c>
      <c r="C2478">
        <v>539.65</v>
      </c>
      <c r="D2478">
        <v>2.7899999999999999E-3</v>
      </c>
      <c r="E2478">
        <v>2.0310000000000002E-2</v>
      </c>
    </row>
    <row r="2479" spans="1:5" ht="14.25" customHeight="1">
      <c r="A2479" s="140">
        <v>44196</v>
      </c>
      <c r="B2479">
        <v>47751.33</v>
      </c>
      <c r="C2479">
        <v>534</v>
      </c>
      <c r="D2479">
        <v>1.1E-4</v>
      </c>
      <c r="E2479">
        <v>-1.052E-2</v>
      </c>
    </row>
    <row r="2480" spans="1:5" ht="14.25" customHeight="1">
      <c r="A2480" s="140">
        <v>44197</v>
      </c>
      <c r="B2480">
        <v>47868.98</v>
      </c>
      <c r="C2480">
        <v>533.95000000000005</v>
      </c>
      <c r="D2480">
        <v>2.4599999999999999E-3</v>
      </c>
      <c r="E2480">
        <v>-9.0000000000000006E-5</v>
      </c>
    </row>
    <row r="2481" spans="1:5" ht="14.25" customHeight="1">
      <c r="A2481" s="140">
        <v>44200</v>
      </c>
      <c r="B2481">
        <v>48176.800000000003</v>
      </c>
      <c r="C2481">
        <v>543.35</v>
      </c>
      <c r="D2481">
        <v>6.4099999999999999E-3</v>
      </c>
      <c r="E2481">
        <v>1.745E-2</v>
      </c>
    </row>
    <row r="2482" spans="1:5" ht="14.25" customHeight="1">
      <c r="A2482" s="140">
        <v>44201</v>
      </c>
      <c r="B2482">
        <v>48437.78</v>
      </c>
      <c r="C2482">
        <v>538.75</v>
      </c>
      <c r="D2482">
        <v>5.4000000000000003E-3</v>
      </c>
      <c r="E2482">
        <v>-8.5000000000000006E-3</v>
      </c>
    </row>
    <row r="2483" spans="1:5" ht="14.25" customHeight="1">
      <c r="A2483" s="140">
        <v>44202</v>
      </c>
      <c r="B2483">
        <v>48174.06</v>
      </c>
      <c r="C2483">
        <v>533.75</v>
      </c>
      <c r="D2483">
        <v>-5.4599999999999996E-3</v>
      </c>
      <c r="E2483">
        <v>-9.3200000000000002E-3</v>
      </c>
    </row>
    <row r="2484" spans="1:5" ht="14.25" customHeight="1">
      <c r="A2484" s="140">
        <v>44203</v>
      </c>
      <c r="B2484">
        <v>48093.32</v>
      </c>
      <c r="C2484">
        <v>535.65</v>
      </c>
      <c r="D2484">
        <v>-1.6800000000000001E-3</v>
      </c>
      <c r="E2484">
        <v>3.5500000000000002E-3</v>
      </c>
    </row>
    <row r="2485" spans="1:5" ht="14.25" customHeight="1">
      <c r="A2485" s="140">
        <v>44204</v>
      </c>
      <c r="B2485">
        <v>48782.51</v>
      </c>
      <c r="C2485">
        <v>539.79999999999995</v>
      </c>
      <c r="D2485">
        <v>1.423E-2</v>
      </c>
      <c r="E2485">
        <v>7.7200000000000003E-3</v>
      </c>
    </row>
    <row r="2486" spans="1:5" ht="14.25" customHeight="1">
      <c r="A2486" s="140">
        <v>44207</v>
      </c>
      <c r="B2486">
        <v>49269.32</v>
      </c>
      <c r="C2486">
        <v>546.35</v>
      </c>
      <c r="D2486">
        <v>9.9299999999999996E-3</v>
      </c>
      <c r="E2486">
        <v>1.206E-2</v>
      </c>
    </row>
    <row r="2487" spans="1:5" ht="14.25" customHeight="1">
      <c r="A2487" s="140">
        <v>44208</v>
      </c>
      <c r="B2487">
        <v>49517.11</v>
      </c>
      <c r="C2487">
        <v>540.75</v>
      </c>
      <c r="D2487">
        <v>5.0200000000000002E-3</v>
      </c>
      <c r="E2487">
        <v>-1.03E-2</v>
      </c>
    </row>
    <row r="2488" spans="1:5" ht="14.25" customHeight="1">
      <c r="A2488" s="140">
        <v>44209</v>
      </c>
      <c r="B2488">
        <v>49492.32</v>
      </c>
      <c r="C2488">
        <v>535.95000000000005</v>
      </c>
      <c r="D2488">
        <v>-5.0000000000000001E-4</v>
      </c>
      <c r="E2488">
        <v>-8.9200000000000008E-3</v>
      </c>
    </row>
    <row r="2489" spans="1:5" ht="14.25" customHeight="1">
      <c r="A2489" s="140">
        <v>44210</v>
      </c>
      <c r="B2489">
        <v>49584.160000000003</v>
      </c>
      <c r="C2489">
        <v>549</v>
      </c>
      <c r="D2489">
        <v>1.8500000000000001E-3</v>
      </c>
      <c r="E2489">
        <v>2.4060000000000002E-2</v>
      </c>
    </row>
    <row r="2490" spans="1:5" ht="14.25" customHeight="1">
      <c r="A2490" s="140">
        <v>44211</v>
      </c>
      <c r="B2490">
        <v>49034.67</v>
      </c>
      <c r="C2490">
        <v>540.79999999999995</v>
      </c>
      <c r="D2490">
        <v>-1.1140000000000001E-2</v>
      </c>
      <c r="E2490">
        <v>-1.5049999999999999E-2</v>
      </c>
    </row>
    <row r="2491" spans="1:5" ht="14.25" customHeight="1">
      <c r="A2491" s="140">
        <v>44214</v>
      </c>
      <c r="B2491">
        <v>48564.27</v>
      </c>
      <c r="C2491">
        <v>537.04999999999995</v>
      </c>
      <c r="D2491">
        <v>-9.6399999999999993E-3</v>
      </c>
      <c r="E2491">
        <v>-6.96E-3</v>
      </c>
    </row>
    <row r="2492" spans="1:5" ht="14.25" customHeight="1">
      <c r="A2492" s="140">
        <v>44215</v>
      </c>
      <c r="B2492">
        <v>49398.29</v>
      </c>
      <c r="C2492">
        <v>541.4</v>
      </c>
      <c r="D2492">
        <v>1.703E-2</v>
      </c>
      <c r="E2492">
        <v>8.0700000000000008E-3</v>
      </c>
    </row>
    <row r="2493" spans="1:5" ht="14.25" customHeight="1">
      <c r="A2493" s="140">
        <v>44216</v>
      </c>
      <c r="B2493">
        <v>49792.12</v>
      </c>
      <c r="C2493">
        <v>537.35</v>
      </c>
      <c r="D2493">
        <v>7.9399999999999991E-3</v>
      </c>
      <c r="E2493">
        <v>-7.5100000000000002E-3</v>
      </c>
    </row>
    <row r="2494" spans="1:5" ht="14.25" customHeight="1">
      <c r="A2494" s="140">
        <v>44217</v>
      </c>
      <c r="B2494">
        <v>49624.76</v>
      </c>
      <c r="C2494">
        <v>537.20000000000005</v>
      </c>
      <c r="D2494">
        <v>-3.3700000000000002E-3</v>
      </c>
      <c r="E2494">
        <v>-2.7999999999999998E-4</v>
      </c>
    </row>
    <row r="2495" spans="1:5" ht="14.25" customHeight="1">
      <c r="A2495" s="140">
        <v>44218</v>
      </c>
      <c r="B2495">
        <v>48878.54</v>
      </c>
      <c r="C2495">
        <v>532.95000000000005</v>
      </c>
      <c r="D2495">
        <v>-1.515E-2</v>
      </c>
      <c r="E2495">
        <v>-7.9399999999999991E-3</v>
      </c>
    </row>
    <row r="2496" spans="1:5" ht="14.25" customHeight="1">
      <c r="A2496" s="140">
        <v>44221</v>
      </c>
      <c r="B2496">
        <v>48347.59</v>
      </c>
      <c r="C2496">
        <v>532.70000000000005</v>
      </c>
      <c r="D2496">
        <v>-1.0919999999999999E-2</v>
      </c>
      <c r="E2496">
        <v>-4.6999999999999999E-4</v>
      </c>
    </row>
    <row r="2497" spans="1:5" ht="14.25" customHeight="1">
      <c r="A2497" s="140">
        <v>44223</v>
      </c>
      <c r="B2497">
        <v>47409.93</v>
      </c>
      <c r="C2497">
        <v>527.70000000000005</v>
      </c>
      <c r="D2497">
        <v>-1.958E-2</v>
      </c>
      <c r="E2497">
        <v>-9.4299999999999991E-3</v>
      </c>
    </row>
    <row r="2498" spans="1:5" ht="14.25" customHeight="1">
      <c r="A2498" s="140">
        <v>44224</v>
      </c>
      <c r="B2498">
        <v>46874.36</v>
      </c>
      <c r="C2498">
        <v>527.6</v>
      </c>
      <c r="D2498">
        <v>-1.136E-2</v>
      </c>
      <c r="E2498">
        <v>-1.9000000000000001E-4</v>
      </c>
    </row>
    <row r="2499" spans="1:5" ht="14.25" customHeight="1">
      <c r="A2499" s="140">
        <v>44225</v>
      </c>
      <c r="B2499">
        <v>46285.77</v>
      </c>
      <c r="C2499">
        <v>515.25</v>
      </c>
      <c r="D2499">
        <v>-1.264E-2</v>
      </c>
      <c r="E2499">
        <v>-2.3689999999999999E-2</v>
      </c>
    </row>
    <row r="2500" spans="1:5" ht="14.25" customHeight="1">
      <c r="A2500" s="140">
        <v>44228</v>
      </c>
      <c r="B2500">
        <v>48600.61</v>
      </c>
      <c r="C2500">
        <v>525.29999999999995</v>
      </c>
      <c r="D2500">
        <v>4.8800000000000003E-2</v>
      </c>
      <c r="E2500">
        <v>1.932E-2</v>
      </c>
    </row>
    <row r="2501" spans="1:5" ht="14.25" customHeight="1">
      <c r="A2501" s="140">
        <v>44229</v>
      </c>
      <c r="B2501">
        <v>49797.72</v>
      </c>
      <c r="C2501">
        <v>526.20000000000005</v>
      </c>
      <c r="D2501">
        <v>2.4330000000000001E-2</v>
      </c>
      <c r="E2501">
        <v>1.7099999999999999E-3</v>
      </c>
    </row>
    <row r="2502" spans="1:5" ht="14.25" customHeight="1">
      <c r="A2502" s="140">
        <v>44230</v>
      </c>
      <c r="B2502">
        <v>50255.75</v>
      </c>
      <c r="C2502">
        <v>524.54999999999995</v>
      </c>
      <c r="D2502">
        <v>9.1599999999999997E-3</v>
      </c>
      <c r="E2502">
        <v>-3.14E-3</v>
      </c>
    </row>
    <row r="2503" spans="1:5" ht="14.25" customHeight="1">
      <c r="A2503" s="140">
        <v>44231</v>
      </c>
      <c r="B2503">
        <v>50614.29</v>
      </c>
      <c r="C2503">
        <v>526.15</v>
      </c>
      <c r="D2503">
        <v>7.11E-3</v>
      </c>
      <c r="E2503">
        <v>3.0500000000000002E-3</v>
      </c>
    </row>
    <row r="2504" spans="1:5" ht="14.25" customHeight="1">
      <c r="A2504" s="140">
        <v>44232</v>
      </c>
      <c r="B2504">
        <v>50731.63</v>
      </c>
      <c r="C2504">
        <v>521.79999999999995</v>
      </c>
      <c r="D2504">
        <v>2.32E-3</v>
      </c>
      <c r="E2504">
        <v>-8.3000000000000001E-3</v>
      </c>
    </row>
    <row r="2505" spans="1:5" ht="14.25" customHeight="1">
      <c r="A2505" s="140">
        <v>44235</v>
      </c>
      <c r="B2505">
        <v>51348.77</v>
      </c>
      <c r="C2505">
        <v>518.5</v>
      </c>
      <c r="D2505">
        <v>1.209E-2</v>
      </c>
      <c r="E2505">
        <v>-6.3400000000000001E-3</v>
      </c>
    </row>
    <row r="2506" spans="1:5" ht="14.25" customHeight="1">
      <c r="A2506" s="140">
        <v>44236</v>
      </c>
      <c r="B2506">
        <v>51329.08</v>
      </c>
      <c r="C2506">
        <v>524.95000000000005</v>
      </c>
      <c r="D2506">
        <v>-3.8000000000000002E-4</v>
      </c>
      <c r="E2506">
        <v>1.2359999999999999E-2</v>
      </c>
    </row>
    <row r="2507" spans="1:5" ht="14.25" customHeight="1">
      <c r="A2507" s="140">
        <v>44237</v>
      </c>
      <c r="B2507">
        <v>51309.39</v>
      </c>
      <c r="C2507">
        <v>524.5</v>
      </c>
      <c r="D2507">
        <v>-3.8000000000000002E-4</v>
      </c>
      <c r="E2507">
        <v>-8.5999999999999998E-4</v>
      </c>
    </row>
    <row r="2508" spans="1:5" ht="14.25" customHeight="1">
      <c r="A2508" s="140">
        <v>44238</v>
      </c>
      <c r="B2508">
        <v>51531.519999999997</v>
      </c>
      <c r="C2508">
        <v>535.75</v>
      </c>
      <c r="D2508">
        <v>4.3200000000000001E-3</v>
      </c>
      <c r="E2508">
        <v>2.1219999999999999E-2</v>
      </c>
    </row>
    <row r="2509" spans="1:5" ht="14.25" customHeight="1">
      <c r="A2509" s="140">
        <v>44239</v>
      </c>
      <c r="B2509">
        <v>51544.3</v>
      </c>
      <c r="C2509">
        <v>534.04999999999995</v>
      </c>
      <c r="D2509">
        <v>2.5000000000000001E-4</v>
      </c>
      <c r="E2509">
        <v>-3.1800000000000001E-3</v>
      </c>
    </row>
    <row r="2510" spans="1:5" ht="14.25" customHeight="1">
      <c r="A2510" s="140">
        <v>44242</v>
      </c>
      <c r="B2510">
        <v>52154.13</v>
      </c>
      <c r="C2510">
        <v>527.29999999999995</v>
      </c>
      <c r="D2510">
        <v>1.176E-2</v>
      </c>
      <c r="E2510">
        <v>-1.272E-2</v>
      </c>
    </row>
    <row r="2511" spans="1:5" ht="14.25" customHeight="1">
      <c r="A2511" s="140">
        <v>44243</v>
      </c>
      <c r="B2511">
        <v>52104.17</v>
      </c>
      <c r="C2511">
        <v>522.5</v>
      </c>
      <c r="D2511">
        <v>-9.6000000000000002E-4</v>
      </c>
      <c r="E2511">
        <v>-9.1400000000000006E-3</v>
      </c>
    </row>
    <row r="2512" spans="1:5" ht="14.25" customHeight="1">
      <c r="A2512" s="140">
        <v>44244</v>
      </c>
      <c r="B2512">
        <v>51703.83</v>
      </c>
      <c r="C2512">
        <v>520.25</v>
      </c>
      <c r="D2512">
        <v>-7.7099999999999998E-3</v>
      </c>
      <c r="E2512">
        <v>-4.3200000000000001E-3</v>
      </c>
    </row>
    <row r="2513" spans="1:5" ht="14.25" customHeight="1">
      <c r="A2513" s="140">
        <v>44245</v>
      </c>
      <c r="B2513">
        <v>51324.69</v>
      </c>
      <c r="C2513">
        <v>520.20000000000005</v>
      </c>
      <c r="D2513">
        <v>-7.3600000000000002E-3</v>
      </c>
      <c r="E2513">
        <v>-1E-4</v>
      </c>
    </row>
    <row r="2514" spans="1:5" ht="14.25" customHeight="1">
      <c r="A2514" s="140">
        <v>44246</v>
      </c>
      <c r="B2514">
        <v>50889.760000000002</v>
      </c>
      <c r="C2514">
        <v>513.25</v>
      </c>
      <c r="D2514">
        <v>-8.5100000000000002E-3</v>
      </c>
      <c r="E2514">
        <v>-1.345E-2</v>
      </c>
    </row>
    <row r="2515" spans="1:5" ht="14.25" customHeight="1">
      <c r="A2515" s="140">
        <v>44249</v>
      </c>
      <c r="B2515">
        <v>49744.32</v>
      </c>
      <c r="C2515">
        <v>500.75</v>
      </c>
      <c r="D2515">
        <v>-2.2769999999999999E-2</v>
      </c>
      <c r="E2515">
        <v>-2.4660000000000001E-2</v>
      </c>
    </row>
    <row r="2516" spans="1:5" ht="14.25" customHeight="1">
      <c r="A2516" s="140">
        <v>44250</v>
      </c>
      <c r="B2516">
        <v>49751.41</v>
      </c>
      <c r="C2516">
        <v>499.9</v>
      </c>
      <c r="D2516">
        <v>1.3999999999999999E-4</v>
      </c>
      <c r="E2516">
        <v>-1.6999999999999999E-3</v>
      </c>
    </row>
    <row r="2517" spans="1:5" ht="14.25" customHeight="1">
      <c r="A2517" s="140">
        <v>44251</v>
      </c>
      <c r="B2517">
        <v>50781.69</v>
      </c>
      <c r="C2517">
        <v>504.35</v>
      </c>
      <c r="D2517">
        <v>2.0500000000000001E-2</v>
      </c>
      <c r="E2517">
        <v>8.8599999999999998E-3</v>
      </c>
    </row>
    <row r="2518" spans="1:5" ht="14.25" customHeight="1">
      <c r="A2518" s="140">
        <v>44252</v>
      </c>
      <c r="B2518">
        <v>51039.31</v>
      </c>
      <c r="C2518">
        <v>509</v>
      </c>
      <c r="D2518">
        <v>5.0600000000000003E-3</v>
      </c>
      <c r="E2518">
        <v>9.1800000000000007E-3</v>
      </c>
    </row>
    <row r="2519" spans="1:5" ht="14.25" customHeight="1">
      <c r="A2519" s="140">
        <v>44253</v>
      </c>
      <c r="B2519">
        <v>49099.99</v>
      </c>
      <c r="C2519">
        <v>503.35</v>
      </c>
      <c r="D2519">
        <v>-3.8739999999999997E-2</v>
      </c>
      <c r="E2519">
        <v>-1.116E-2</v>
      </c>
    </row>
    <row r="2520" spans="1:5" ht="14.25" customHeight="1">
      <c r="A2520" s="140">
        <v>44256</v>
      </c>
      <c r="B2520">
        <v>49849.84</v>
      </c>
      <c r="C2520">
        <v>505.95</v>
      </c>
      <c r="D2520">
        <v>1.516E-2</v>
      </c>
      <c r="E2520">
        <v>5.1500000000000001E-3</v>
      </c>
    </row>
    <row r="2521" spans="1:5" ht="14.25" customHeight="1">
      <c r="A2521" s="140">
        <v>44257</v>
      </c>
      <c r="B2521">
        <v>50296.89</v>
      </c>
      <c r="C2521">
        <v>511.05</v>
      </c>
      <c r="D2521">
        <v>8.9300000000000004E-3</v>
      </c>
      <c r="E2521">
        <v>1.0030000000000001E-2</v>
      </c>
    </row>
    <row r="2522" spans="1:5" ht="14.25" customHeight="1">
      <c r="A2522" s="140">
        <v>44258</v>
      </c>
      <c r="B2522">
        <v>51444.65</v>
      </c>
      <c r="C2522">
        <v>518</v>
      </c>
      <c r="D2522">
        <v>2.256E-2</v>
      </c>
      <c r="E2522">
        <v>1.3509999999999999E-2</v>
      </c>
    </row>
    <row r="2523" spans="1:5" ht="14.25" customHeight="1">
      <c r="A2523" s="140">
        <v>44259</v>
      </c>
      <c r="B2523">
        <v>50846.080000000002</v>
      </c>
      <c r="C2523">
        <v>524.25</v>
      </c>
      <c r="D2523">
        <v>-1.17E-2</v>
      </c>
      <c r="E2523">
        <v>1.1990000000000001E-2</v>
      </c>
    </row>
    <row r="2524" spans="1:5" ht="14.25" customHeight="1">
      <c r="A2524" s="140">
        <v>44260</v>
      </c>
      <c r="B2524">
        <v>50405.32</v>
      </c>
      <c r="C2524">
        <v>524.70000000000005</v>
      </c>
      <c r="D2524">
        <v>-8.7100000000000007E-3</v>
      </c>
      <c r="E2524">
        <v>8.5999999999999998E-4</v>
      </c>
    </row>
    <row r="2525" spans="1:5" ht="14.25" customHeight="1">
      <c r="A2525" s="140">
        <v>44263</v>
      </c>
      <c r="B2525">
        <v>50441.07</v>
      </c>
      <c r="C2525">
        <v>528.54999999999995</v>
      </c>
      <c r="D2525">
        <v>7.1000000000000002E-4</v>
      </c>
      <c r="E2525">
        <v>7.3099999999999997E-3</v>
      </c>
    </row>
    <row r="2526" spans="1:5" ht="14.25" customHeight="1">
      <c r="A2526" s="140">
        <v>44264</v>
      </c>
      <c r="B2526">
        <v>51025.48</v>
      </c>
      <c r="C2526">
        <v>525.35</v>
      </c>
      <c r="D2526">
        <v>1.1520000000000001E-2</v>
      </c>
      <c r="E2526">
        <v>-6.0699999999999999E-3</v>
      </c>
    </row>
    <row r="2527" spans="1:5" ht="14.25" customHeight="1">
      <c r="A2527" s="140">
        <v>44265</v>
      </c>
      <c r="B2527">
        <v>51279.51</v>
      </c>
      <c r="C2527">
        <v>531.15</v>
      </c>
      <c r="D2527">
        <v>4.9699999999999996E-3</v>
      </c>
      <c r="E2527">
        <v>1.098E-2</v>
      </c>
    </row>
    <row r="2528" spans="1:5" ht="14.25" customHeight="1">
      <c r="A2528" s="140">
        <v>44267</v>
      </c>
      <c r="B2528">
        <v>50792.08</v>
      </c>
      <c r="C2528">
        <v>523</v>
      </c>
      <c r="D2528">
        <v>-9.5499999999999995E-3</v>
      </c>
      <c r="E2528">
        <v>-1.546E-2</v>
      </c>
    </row>
    <row r="2529" spans="1:5" ht="14.25" customHeight="1">
      <c r="A2529" s="140">
        <v>44270</v>
      </c>
      <c r="B2529">
        <v>50395.08</v>
      </c>
      <c r="C2529">
        <v>526.1</v>
      </c>
      <c r="D2529">
        <v>-7.8499999999999993E-3</v>
      </c>
      <c r="E2529">
        <v>5.9100000000000003E-3</v>
      </c>
    </row>
    <row r="2530" spans="1:5" ht="14.25" customHeight="1">
      <c r="A2530" s="140">
        <v>44271</v>
      </c>
      <c r="B2530">
        <v>50363.96</v>
      </c>
      <c r="C2530">
        <v>529.15</v>
      </c>
      <c r="D2530">
        <v>-6.2E-4</v>
      </c>
      <c r="E2530">
        <v>5.7800000000000004E-3</v>
      </c>
    </row>
    <row r="2531" spans="1:5" ht="14.25" customHeight="1">
      <c r="A2531" s="140">
        <v>44272</v>
      </c>
      <c r="B2531">
        <v>49801.62</v>
      </c>
      <c r="C2531">
        <v>527.04999999999995</v>
      </c>
      <c r="D2531">
        <v>-1.123E-2</v>
      </c>
      <c r="E2531">
        <v>-3.98E-3</v>
      </c>
    </row>
    <row r="2532" spans="1:5" ht="14.25" customHeight="1">
      <c r="A2532" s="140">
        <v>44273</v>
      </c>
      <c r="B2532">
        <v>49216.52</v>
      </c>
      <c r="C2532">
        <v>522.04999999999995</v>
      </c>
      <c r="D2532">
        <v>-1.1820000000000001E-2</v>
      </c>
      <c r="E2532">
        <v>-9.5300000000000003E-3</v>
      </c>
    </row>
    <row r="2533" spans="1:5" ht="14.25" customHeight="1">
      <c r="A2533" s="140">
        <v>44274</v>
      </c>
      <c r="B2533">
        <v>49858.239999999998</v>
      </c>
      <c r="C2533">
        <v>524.54999999999995</v>
      </c>
      <c r="D2533">
        <v>1.295E-2</v>
      </c>
      <c r="E2533">
        <v>4.7800000000000004E-3</v>
      </c>
    </row>
    <row r="2534" spans="1:5" ht="14.25" customHeight="1">
      <c r="A2534" s="140">
        <v>44277</v>
      </c>
      <c r="B2534">
        <v>49771.29</v>
      </c>
      <c r="C2534">
        <v>533.35</v>
      </c>
      <c r="D2534">
        <v>-1.75E-3</v>
      </c>
      <c r="E2534">
        <v>1.6639999999999999E-2</v>
      </c>
    </row>
    <row r="2535" spans="1:5" ht="14.25" customHeight="1">
      <c r="A2535" s="140">
        <v>44278</v>
      </c>
      <c r="B2535">
        <v>50051.44</v>
      </c>
      <c r="C2535">
        <v>533.20000000000005</v>
      </c>
      <c r="D2535">
        <v>5.6100000000000004E-3</v>
      </c>
      <c r="E2535">
        <v>-2.7999999999999998E-4</v>
      </c>
    </row>
    <row r="2536" spans="1:5" ht="14.25" customHeight="1">
      <c r="A2536" s="140">
        <v>44279</v>
      </c>
      <c r="B2536">
        <v>49180.31</v>
      </c>
      <c r="C2536">
        <v>529.04999999999995</v>
      </c>
      <c r="D2536">
        <v>-1.7559999999999999E-2</v>
      </c>
      <c r="E2536">
        <v>-7.8100000000000001E-3</v>
      </c>
    </row>
    <row r="2537" spans="1:5" ht="14.25" customHeight="1">
      <c r="A2537" s="140">
        <v>44280</v>
      </c>
      <c r="B2537">
        <v>48440.12</v>
      </c>
      <c r="C2537">
        <v>517.70000000000005</v>
      </c>
      <c r="D2537">
        <v>-1.516E-2</v>
      </c>
      <c r="E2537">
        <v>-2.1690000000000001E-2</v>
      </c>
    </row>
    <row r="2538" spans="1:5" ht="14.25" customHeight="1">
      <c r="A2538" s="140">
        <v>44281</v>
      </c>
      <c r="B2538">
        <v>49008.5</v>
      </c>
      <c r="C2538">
        <v>529.5</v>
      </c>
      <c r="D2538">
        <v>1.167E-2</v>
      </c>
      <c r="E2538">
        <v>2.2540000000000001E-2</v>
      </c>
    </row>
    <row r="2539" spans="1:5" ht="14.25" customHeight="1">
      <c r="A2539" s="140">
        <v>44285</v>
      </c>
      <c r="B2539">
        <v>50136.58</v>
      </c>
      <c r="C2539">
        <v>538</v>
      </c>
      <c r="D2539">
        <v>2.2759999999999999E-2</v>
      </c>
      <c r="E2539">
        <v>1.593E-2</v>
      </c>
    </row>
    <row r="2540" spans="1:5" ht="14.25" customHeight="1">
      <c r="A2540" s="140">
        <v>44286</v>
      </c>
      <c r="B2540">
        <v>49509.15</v>
      </c>
      <c r="C2540">
        <v>540.70000000000005</v>
      </c>
      <c r="D2540">
        <v>-1.259E-2</v>
      </c>
      <c r="E2540">
        <v>5.0099999999999997E-3</v>
      </c>
    </row>
    <row r="2541" spans="1:5" ht="14.25" customHeight="1">
      <c r="A2541" s="140">
        <v>44287</v>
      </c>
      <c r="B2541">
        <v>50029.83</v>
      </c>
      <c r="C2541">
        <v>538.6</v>
      </c>
      <c r="D2541">
        <v>1.0460000000000001E-2</v>
      </c>
      <c r="E2541">
        <v>-3.8899999999999998E-3</v>
      </c>
    </row>
    <row r="2542" spans="1:5" ht="14.25" customHeight="1">
      <c r="A2542" s="140">
        <v>44291</v>
      </c>
      <c r="B2542">
        <v>49159.32</v>
      </c>
      <c r="C2542">
        <v>536.95000000000005</v>
      </c>
      <c r="D2542">
        <v>-1.755E-2</v>
      </c>
      <c r="E2542">
        <v>-3.0699999999999998E-3</v>
      </c>
    </row>
    <row r="2543" spans="1:5" ht="14.25" customHeight="1">
      <c r="A2543" s="140">
        <v>44292</v>
      </c>
      <c r="B2543">
        <v>49201.39</v>
      </c>
      <c r="C2543">
        <v>546.9</v>
      </c>
      <c r="D2543">
        <v>8.5999999999999998E-4</v>
      </c>
      <c r="E2543">
        <v>1.8360000000000001E-2</v>
      </c>
    </row>
    <row r="2544" spans="1:5" ht="14.25" customHeight="1">
      <c r="A2544" s="140">
        <v>44293</v>
      </c>
      <c r="B2544">
        <v>49661.760000000002</v>
      </c>
      <c r="C2544">
        <v>553.04999999999995</v>
      </c>
      <c r="D2544">
        <v>9.3100000000000006E-3</v>
      </c>
      <c r="E2544">
        <v>1.1180000000000001E-2</v>
      </c>
    </row>
    <row r="2545" spans="1:5" ht="14.25" customHeight="1">
      <c r="A2545" s="140">
        <v>44294</v>
      </c>
      <c r="B2545">
        <v>49746.21</v>
      </c>
      <c r="C2545">
        <v>559.25</v>
      </c>
      <c r="D2545">
        <v>1.6999999999999999E-3</v>
      </c>
      <c r="E2545">
        <v>1.115E-2</v>
      </c>
    </row>
    <row r="2546" spans="1:5" ht="14.25" customHeight="1">
      <c r="A2546" s="140">
        <v>44295</v>
      </c>
      <c r="B2546">
        <v>49591.32</v>
      </c>
      <c r="C2546">
        <v>560.45000000000005</v>
      </c>
      <c r="D2546">
        <v>-3.1199999999999999E-3</v>
      </c>
      <c r="E2546">
        <v>2.14E-3</v>
      </c>
    </row>
    <row r="2547" spans="1:5" ht="14.25" customHeight="1">
      <c r="A2547" s="140">
        <v>44298</v>
      </c>
      <c r="B2547">
        <v>47883.38</v>
      </c>
      <c r="C2547">
        <v>555.95000000000005</v>
      </c>
      <c r="D2547">
        <v>-3.5049999999999998E-2</v>
      </c>
      <c r="E2547">
        <v>-8.0599999999999995E-3</v>
      </c>
    </row>
    <row r="2548" spans="1:5" ht="14.25" customHeight="1">
      <c r="A2548" s="140">
        <v>44299</v>
      </c>
      <c r="B2548">
        <v>48544.06</v>
      </c>
      <c r="C2548">
        <v>560.35</v>
      </c>
      <c r="D2548">
        <v>1.37E-2</v>
      </c>
      <c r="E2548">
        <v>7.8799999999999999E-3</v>
      </c>
    </row>
    <row r="2549" spans="1:5" ht="14.25" customHeight="1">
      <c r="A2549" s="140">
        <v>44301</v>
      </c>
      <c r="B2549">
        <v>48803.68</v>
      </c>
      <c r="C2549">
        <v>572.85</v>
      </c>
      <c r="D2549">
        <v>5.3299999999999997E-3</v>
      </c>
      <c r="E2549">
        <v>2.206E-2</v>
      </c>
    </row>
    <row r="2550" spans="1:5" ht="14.25" customHeight="1">
      <c r="A2550" s="140">
        <v>44302</v>
      </c>
      <c r="B2550">
        <v>48832.03</v>
      </c>
      <c r="C2550">
        <v>574.95000000000005</v>
      </c>
      <c r="D2550">
        <v>5.8E-4</v>
      </c>
      <c r="E2550">
        <v>3.6600000000000001E-3</v>
      </c>
    </row>
    <row r="2551" spans="1:5" ht="14.25" customHeight="1">
      <c r="A2551" s="140">
        <v>44305</v>
      </c>
      <c r="B2551">
        <v>47949.42</v>
      </c>
      <c r="C2551">
        <v>568.6</v>
      </c>
      <c r="D2551">
        <v>-1.8239999999999999E-2</v>
      </c>
      <c r="E2551">
        <v>-1.111E-2</v>
      </c>
    </row>
    <row r="2552" spans="1:5" ht="14.25" customHeight="1">
      <c r="A2552" s="140">
        <v>44306</v>
      </c>
      <c r="B2552">
        <v>47705.8</v>
      </c>
      <c r="C2552">
        <v>568.15</v>
      </c>
      <c r="D2552">
        <v>-5.0899999999999999E-3</v>
      </c>
      <c r="E2552">
        <v>-7.9000000000000001E-4</v>
      </c>
    </row>
    <row r="2553" spans="1:5" ht="14.25" customHeight="1">
      <c r="A2553" s="140">
        <v>44308</v>
      </c>
      <c r="B2553">
        <v>48080.67</v>
      </c>
      <c r="C2553">
        <v>566.29999999999995</v>
      </c>
      <c r="D2553">
        <v>7.8300000000000002E-3</v>
      </c>
      <c r="E2553">
        <v>-3.2599999999999999E-3</v>
      </c>
    </row>
    <row r="2554" spans="1:5" ht="14.25" customHeight="1">
      <c r="A2554" s="140">
        <v>44309</v>
      </c>
      <c r="B2554">
        <v>47878.45</v>
      </c>
      <c r="C2554">
        <v>559.95000000000005</v>
      </c>
      <c r="D2554">
        <v>-4.2100000000000002E-3</v>
      </c>
      <c r="E2554">
        <v>-1.128E-2</v>
      </c>
    </row>
    <row r="2555" spans="1:5" ht="14.25" customHeight="1">
      <c r="A2555" s="140">
        <v>44312</v>
      </c>
      <c r="B2555">
        <v>48386.51</v>
      </c>
      <c r="C2555">
        <v>541.4</v>
      </c>
      <c r="D2555">
        <v>1.056E-2</v>
      </c>
      <c r="E2555">
        <v>-3.3689999999999998E-2</v>
      </c>
    </row>
    <row r="2556" spans="1:5" ht="14.25" customHeight="1">
      <c r="A2556" s="140">
        <v>44313</v>
      </c>
      <c r="B2556">
        <v>48944.14</v>
      </c>
      <c r="C2556">
        <v>538.35</v>
      </c>
      <c r="D2556">
        <v>1.146E-2</v>
      </c>
      <c r="E2556">
        <v>-5.6499999999999996E-3</v>
      </c>
    </row>
    <row r="2557" spans="1:5" ht="14.25" customHeight="1">
      <c r="A2557" s="140">
        <v>44314</v>
      </c>
      <c r="B2557">
        <v>49733.84</v>
      </c>
      <c r="C2557">
        <v>540.95000000000005</v>
      </c>
      <c r="D2557">
        <v>1.601E-2</v>
      </c>
      <c r="E2557">
        <v>4.8199999999999996E-3</v>
      </c>
    </row>
    <row r="2558" spans="1:5" ht="14.25" customHeight="1">
      <c r="A2558" s="140">
        <v>44315</v>
      </c>
      <c r="B2558">
        <v>49765.94</v>
      </c>
      <c r="C2558">
        <v>541.70000000000005</v>
      </c>
      <c r="D2558">
        <v>6.4999999999999997E-4</v>
      </c>
      <c r="E2558">
        <v>1.39E-3</v>
      </c>
    </row>
    <row r="2559" spans="1:5" ht="14.25" customHeight="1">
      <c r="A2559" s="140">
        <v>44316</v>
      </c>
      <c r="B2559">
        <v>48782.36</v>
      </c>
      <c r="C2559">
        <v>538.45000000000005</v>
      </c>
      <c r="D2559">
        <v>-1.9959999999999999E-2</v>
      </c>
      <c r="E2559">
        <v>-6.0200000000000002E-3</v>
      </c>
    </row>
    <row r="2560" spans="1:5" ht="14.25" customHeight="1">
      <c r="A2560" s="140">
        <v>44319</v>
      </c>
      <c r="B2560">
        <v>48718.52</v>
      </c>
      <c r="C2560">
        <v>542.04999999999995</v>
      </c>
      <c r="D2560">
        <v>-1.31E-3</v>
      </c>
      <c r="E2560">
        <v>6.6600000000000001E-3</v>
      </c>
    </row>
    <row r="2561" spans="1:5" ht="14.25" customHeight="1">
      <c r="A2561" s="140">
        <v>44320</v>
      </c>
      <c r="B2561">
        <v>48253.51</v>
      </c>
      <c r="C2561">
        <v>537.25</v>
      </c>
      <c r="D2561">
        <v>-9.5899999999999996E-3</v>
      </c>
      <c r="E2561">
        <v>-8.8900000000000003E-3</v>
      </c>
    </row>
    <row r="2562" spans="1:5" ht="14.25" customHeight="1">
      <c r="A2562" s="140">
        <v>44321</v>
      </c>
      <c r="B2562">
        <v>48677.55</v>
      </c>
      <c r="C2562">
        <v>541.20000000000005</v>
      </c>
      <c r="D2562">
        <v>8.7500000000000008E-3</v>
      </c>
      <c r="E2562">
        <v>7.3299999999999997E-3</v>
      </c>
    </row>
    <row r="2563" spans="1:5" ht="14.25" customHeight="1">
      <c r="A2563" s="140">
        <v>44322</v>
      </c>
      <c r="B2563">
        <v>48949.760000000002</v>
      </c>
      <c r="C2563">
        <v>545.45000000000005</v>
      </c>
      <c r="D2563">
        <v>5.5799999999999999E-3</v>
      </c>
      <c r="E2563">
        <v>7.8200000000000006E-3</v>
      </c>
    </row>
    <row r="2564" spans="1:5" ht="14.25" customHeight="1">
      <c r="A2564" s="140">
        <v>44323</v>
      </c>
      <c r="B2564">
        <v>49206.47</v>
      </c>
      <c r="C2564">
        <v>534.70000000000005</v>
      </c>
      <c r="D2564">
        <v>5.2300000000000003E-3</v>
      </c>
      <c r="E2564">
        <v>-1.9910000000000001E-2</v>
      </c>
    </row>
    <row r="2565" spans="1:5" ht="14.25" customHeight="1">
      <c r="A2565" s="140">
        <v>44326</v>
      </c>
      <c r="B2565">
        <v>49502.41</v>
      </c>
      <c r="C2565">
        <v>522.65</v>
      </c>
      <c r="D2565">
        <v>6.0000000000000001E-3</v>
      </c>
      <c r="E2565">
        <v>-2.2790000000000001E-2</v>
      </c>
    </row>
    <row r="2566" spans="1:5" ht="14.25" customHeight="1">
      <c r="A2566" s="140">
        <v>44327</v>
      </c>
      <c r="B2566">
        <v>49161.81</v>
      </c>
      <c r="C2566">
        <v>525.45000000000005</v>
      </c>
      <c r="D2566">
        <v>-6.8999999999999999E-3</v>
      </c>
      <c r="E2566">
        <v>5.3400000000000001E-3</v>
      </c>
    </row>
    <row r="2567" spans="1:5" ht="14.25" customHeight="1">
      <c r="A2567" s="140">
        <v>44328</v>
      </c>
      <c r="B2567">
        <v>48690.8</v>
      </c>
      <c r="C2567">
        <v>529.25</v>
      </c>
      <c r="D2567">
        <v>-9.6299999999999997E-3</v>
      </c>
      <c r="E2567">
        <v>7.2100000000000003E-3</v>
      </c>
    </row>
    <row r="2568" spans="1:5" ht="14.25" customHeight="1">
      <c r="A2568" s="140">
        <v>44330</v>
      </c>
      <c r="B2568">
        <v>48732.55</v>
      </c>
      <c r="C2568">
        <v>534.79999999999995</v>
      </c>
      <c r="D2568">
        <v>8.5999999999999998E-4</v>
      </c>
      <c r="E2568">
        <v>1.043E-2</v>
      </c>
    </row>
    <row r="2569" spans="1:5" ht="14.25" customHeight="1">
      <c r="A2569" s="140">
        <v>44333</v>
      </c>
      <c r="B2569">
        <v>49580.73</v>
      </c>
      <c r="C2569">
        <v>533.5</v>
      </c>
      <c r="D2569">
        <v>1.7260000000000001E-2</v>
      </c>
      <c r="E2569">
        <v>-2.4299999999999999E-3</v>
      </c>
    </row>
    <row r="2570" spans="1:5" ht="14.25" customHeight="1">
      <c r="A2570" s="140">
        <v>44334</v>
      </c>
      <c r="B2570">
        <v>50193.33</v>
      </c>
      <c r="C2570">
        <v>530.95000000000005</v>
      </c>
      <c r="D2570">
        <v>1.2279999999999999E-2</v>
      </c>
      <c r="E2570">
        <v>-4.79E-3</v>
      </c>
    </row>
    <row r="2571" spans="1:5" ht="14.25" customHeight="1">
      <c r="A2571" s="140">
        <v>44335</v>
      </c>
      <c r="B2571">
        <v>49902.64</v>
      </c>
      <c r="C2571">
        <v>537.95000000000005</v>
      </c>
      <c r="D2571">
        <v>-5.8100000000000001E-3</v>
      </c>
      <c r="E2571">
        <v>1.3100000000000001E-2</v>
      </c>
    </row>
    <row r="2572" spans="1:5" ht="14.25" customHeight="1">
      <c r="A2572" s="140">
        <v>44336</v>
      </c>
      <c r="B2572">
        <v>49564.86</v>
      </c>
      <c r="C2572">
        <v>535.70000000000005</v>
      </c>
      <c r="D2572">
        <v>-6.79E-3</v>
      </c>
      <c r="E2572">
        <v>-4.1900000000000001E-3</v>
      </c>
    </row>
    <row r="2573" spans="1:5" ht="14.25" customHeight="1">
      <c r="A2573" s="140">
        <v>44337</v>
      </c>
      <c r="B2573">
        <v>50540.480000000003</v>
      </c>
      <c r="C2573">
        <v>536.6</v>
      </c>
      <c r="D2573">
        <v>1.949E-2</v>
      </c>
      <c r="E2573">
        <v>1.6800000000000001E-3</v>
      </c>
    </row>
    <row r="2574" spans="1:5" ht="14.25" customHeight="1">
      <c r="A2574" s="140">
        <v>44340</v>
      </c>
      <c r="B2574">
        <v>50651.9</v>
      </c>
      <c r="C2574">
        <v>533.15</v>
      </c>
      <c r="D2574">
        <v>2.2000000000000001E-3</v>
      </c>
      <c r="E2574">
        <v>-6.45E-3</v>
      </c>
    </row>
    <row r="2575" spans="1:5" ht="14.25" customHeight="1">
      <c r="A2575" s="140">
        <v>44341</v>
      </c>
      <c r="B2575">
        <v>50637.53</v>
      </c>
      <c r="C2575">
        <v>530.5</v>
      </c>
      <c r="D2575">
        <v>-2.7999999999999998E-4</v>
      </c>
      <c r="E2575">
        <v>-4.9800000000000001E-3</v>
      </c>
    </row>
    <row r="2576" spans="1:5" ht="14.25" customHeight="1">
      <c r="A2576" s="140">
        <v>44342</v>
      </c>
      <c r="B2576">
        <v>51017.52</v>
      </c>
      <c r="C2576">
        <v>532.20000000000005</v>
      </c>
      <c r="D2576">
        <v>7.4799999999999997E-3</v>
      </c>
      <c r="E2576">
        <v>3.2000000000000002E-3</v>
      </c>
    </row>
    <row r="2577" spans="1:5" ht="14.25" customHeight="1">
      <c r="A2577" s="140">
        <v>44343</v>
      </c>
      <c r="B2577">
        <v>51115.22</v>
      </c>
      <c r="C2577">
        <v>527</v>
      </c>
      <c r="D2577">
        <v>1.91E-3</v>
      </c>
      <c r="E2577">
        <v>-9.8200000000000006E-3</v>
      </c>
    </row>
    <row r="2578" spans="1:5" ht="14.25" customHeight="1">
      <c r="A2578" s="140">
        <v>44344</v>
      </c>
      <c r="B2578">
        <v>51422.879999999997</v>
      </c>
      <c r="C2578">
        <v>530.45000000000005</v>
      </c>
      <c r="D2578">
        <v>6.0000000000000001E-3</v>
      </c>
      <c r="E2578">
        <v>6.5300000000000002E-3</v>
      </c>
    </row>
    <row r="2579" spans="1:5" ht="14.25" customHeight="1">
      <c r="A2579" s="140">
        <v>44347</v>
      </c>
      <c r="B2579">
        <v>51937.440000000002</v>
      </c>
      <c r="C2579">
        <v>540.4</v>
      </c>
      <c r="D2579">
        <v>9.9600000000000001E-3</v>
      </c>
      <c r="E2579">
        <v>1.8579999999999999E-2</v>
      </c>
    </row>
    <row r="2580" spans="1:5" ht="14.25" customHeight="1">
      <c r="A2580" s="140">
        <v>44348</v>
      </c>
      <c r="B2580">
        <v>51934.879999999997</v>
      </c>
      <c r="C2580">
        <v>537.5</v>
      </c>
      <c r="D2580">
        <v>-5.0000000000000002E-5</v>
      </c>
      <c r="E2580">
        <v>-5.3800000000000002E-3</v>
      </c>
    </row>
    <row r="2581" spans="1:5" ht="14.25" customHeight="1">
      <c r="A2581" s="140">
        <v>44349</v>
      </c>
      <c r="B2581">
        <v>51849.48</v>
      </c>
      <c r="C2581">
        <v>532.5</v>
      </c>
      <c r="D2581">
        <v>-1.65E-3</v>
      </c>
      <c r="E2581">
        <v>-9.3500000000000007E-3</v>
      </c>
    </row>
    <row r="2582" spans="1:5" ht="14.25" customHeight="1">
      <c r="A2582" s="140">
        <v>44350</v>
      </c>
      <c r="B2582">
        <v>52232.43</v>
      </c>
      <c r="C2582">
        <v>540.45000000000005</v>
      </c>
      <c r="D2582">
        <v>7.3600000000000002E-3</v>
      </c>
      <c r="E2582">
        <v>1.482E-2</v>
      </c>
    </row>
    <row r="2583" spans="1:5" ht="14.25" customHeight="1">
      <c r="A2583" s="140">
        <v>44351</v>
      </c>
      <c r="B2583">
        <v>52100.05</v>
      </c>
      <c r="C2583">
        <v>543.85</v>
      </c>
      <c r="D2583">
        <v>-2.5400000000000002E-3</v>
      </c>
      <c r="E2583">
        <v>6.2700000000000004E-3</v>
      </c>
    </row>
    <row r="2584" spans="1:5" ht="14.25" customHeight="1">
      <c r="A2584" s="140">
        <v>44354</v>
      </c>
      <c r="B2584">
        <v>52328.51</v>
      </c>
      <c r="C2584">
        <v>548.35</v>
      </c>
      <c r="D2584">
        <v>4.3800000000000002E-3</v>
      </c>
      <c r="E2584">
        <v>8.2400000000000008E-3</v>
      </c>
    </row>
    <row r="2585" spans="1:5" ht="14.25" customHeight="1">
      <c r="A2585" s="140">
        <v>44355</v>
      </c>
      <c r="B2585">
        <v>52275.57</v>
      </c>
      <c r="C2585">
        <v>556.4</v>
      </c>
      <c r="D2585">
        <v>-1.01E-3</v>
      </c>
      <c r="E2585">
        <v>1.457E-2</v>
      </c>
    </row>
    <row r="2586" spans="1:5" ht="14.25" customHeight="1">
      <c r="A2586" s="140">
        <v>44356</v>
      </c>
      <c r="B2586">
        <v>51941.64</v>
      </c>
      <c r="C2586">
        <v>558.54999999999995</v>
      </c>
      <c r="D2586">
        <v>-6.4099999999999999E-3</v>
      </c>
      <c r="E2586">
        <v>3.8600000000000001E-3</v>
      </c>
    </row>
    <row r="2587" spans="1:5" ht="14.25" customHeight="1">
      <c r="A2587" s="140">
        <v>44357</v>
      </c>
      <c r="B2587">
        <v>52300.47</v>
      </c>
      <c r="C2587">
        <v>560.1</v>
      </c>
      <c r="D2587">
        <v>6.8799999999999998E-3</v>
      </c>
      <c r="E2587">
        <v>2.7699999999999999E-3</v>
      </c>
    </row>
    <row r="2588" spans="1:5" ht="14.25" customHeight="1">
      <c r="A2588" s="140">
        <v>44358</v>
      </c>
      <c r="B2588">
        <v>52474.76</v>
      </c>
      <c r="C2588">
        <v>565.04999999999995</v>
      </c>
      <c r="D2588">
        <v>3.3300000000000001E-3</v>
      </c>
      <c r="E2588">
        <v>8.8000000000000005E-3</v>
      </c>
    </row>
    <row r="2589" spans="1:5" ht="14.25" customHeight="1">
      <c r="A2589" s="140">
        <v>44361</v>
      </c>
      <c r="B2589">
        <v>52551.53</v>
      </c>
      <c r="C2589">
        <v>568.35</v>
      </c>
      <c r="D2589">
        <v>1.4599999999999999E-3</v>
      </c>
      <c r="E2589">
        <v>5.8199999999999997E-3</v>
      </c>
    </row>
    <row r="2590" spans="1:5" ht="14.25" customHeight="1">
      <c r="A2590" s="140">
        <v>44362</v>
      </c>
      <c r="B2590">
        <v>52773.05</v>
      </c>
      <c r="C2590">
        <v>574.75</v>
      </c>
      <c r="D2590">
        <v>4.2100000000000002E-3</v>
      </c>
      <c r="E2590">
        <v>1.12E-2</v>
      </c>
    </row>
    <row r="2591" spans="1:5" ht="14.25" customHeight="1">
      <c r="A2591" s="140">
        <v>44363</v>
      </c>
      <c r="B2591">
        <v>52501.98</v>
      </c>
      <c r="C2591">
        <v>580.5</v>
      </c>
      <c r="D2591">
        <v>-5.1500000000000001E-3</v>
      </c>
      <c r="E2591">
        <v>9.9500000000000005E-3</v>
      </c>
    </row>
    <row r="2592" spans="1:5" ht="14.25" customHeight="1">
      <c r="A2592" s="140">
        <v>44364</v>
      </c>
      <c r="B2592">
        <v>52323.33</v>
      </c>
      <c r="C2592">
        <v>573.04999999999995</v>
      </c>
      <c r="D2592">
        <v>-3.4099999999999998E-3</v>
      </c>
      <c r="E2592">
        <v>-1.2919999999999999E-2</v>
      </c>
    </row>
    <row r="2593" spans="1:5" ht="14.25" customHeight="1">
      <c r="A2593" s="140">
        <v>44365</v>
      </c>
      <c r="B2593">
        <v>52344.45</v>
      </c>
      <c r="C2593">
        <v>577.29999999999995</v>
      </c>
      <c r="D2593">
        <v>4.0000000000000002E-4</v>
      </c>
      <c r="E2593">
        <v>7.3899999999999999E-3</v>
      </c>
    </row>
    <row r="2594" spans="1:5" ht="14.25" customHeight="1">
      <c r="A2594" s="140">
        <v>44368</v>
      </c>
      <c r="B2594">
        <v>52574.46</v>
      </c>
      <c r="C2594">
        <v>572.35</v>
      </c>
      <c r="D2594">
        <v>4.3800000000000002E-3</v>
      </c>
      <c r="E2594">
        <v>-8.6099999999999996E-3</v>
      </c>
    </row>
    <row r="2595" spans="1:5" ht="14.25" customHeight="1">
      <c r="A2595" s="140">
        <v>44369</v>
      </c>
      <c r="B2595">
        <v>52588.71</v>
      </c>
      <c r="C2595">
        <v>566.35</v>
      </c>
      <c r="D2595">
        <v>2.7E-4</v>
      </c>
      <c r="E2595">
        <v>-1.0540000000000001E-2</v>
      </c>
    </row>
    <row r="2596" spans="1:5" ht="14.25" customHeight="1">
      <c r="A2596" s="140">
        <v>44370</v>
      </c>
      <c r="B2596">
        <v>52306.080000000002</v>
      </c>
      <c r="C2596">
        <v>566.35</v>
      </c>
      <c r="D2596">
        <v>-5.3899999999999998E-3</v>
      </c>
      <c r="E2596">
        <v>0</v>
      </c>
    </row>
    <row r="2597" spans="1:5" ht="14.25" customHeight="1">
      <c r="A2597" s="140">
        <v>44371</v>
      </c>
      <c r="B2597">
        <v>52699</v>
      </c>
      <c r="C2597">
        <v>575.29999999999995</v>
      </c>
      <c r="D2597">
        <v>7.4799999999999997E-3</v>
      </c>
      <c r="E2597">
        <v>1.5679999999999999E-2</v>
      </c>
    </row>
    <row r="2598" spans="1:5" ht="14.25" customHeight="1">
      <c r="A2598" s="140">
        <v>44372</v>
      </c>
      <c r="B2598">
        <v>52925.04</v>
      </c>
      <c r="C2598">
        <v>564.20000000000005</v>
      </c>
      <c r="D2598">
        <v>4.28E-3</v>
      </c>
      <c r="E2598">
        <v>-1.9480000000000001E-2</v>
      </c>
    </row>
    <row r="2599" spans="1:5" ht="14.25" customHeight="1">
      <c r="A2599" s="140">
        <v>44375</v>
      </c>
      <c r="B2599">
        <v>52735.59</v>
      </c>
      <c r="C2599">
        <v>567</v>
      </c>
      <c r="D2599">
        <v>-3.5899999999999999E-3</v>
      </c>
      <c r="E2599">
        <v>4.9500000000000004E-3</v>
      </c>
    </row>
    <row r="2600" spans="1:5" ht="14.25" customHeight="1">
      <c r="A2600" s="140">
        <v>44376</v>
      </c>
      <c r="B2600">
        <v>52549.66</v>
      </c>
      <c r="C2600">
        <v>567.15</v>
      </c>
      <c r="D2600">
        <v>-3.5300000000000002E-3</v>
      </c>
      <c r="E2600">
        <v>2.5999999999999998E-4</v>
      </c>
    </row>
    <row r="2601" spans="1:5" ht="14.25" customHeight="1">
      <c r="A2601" s="140">
        <v>44377</v>
      </c>
      <c r="B2601">
        <v>52482.71</v>
      </c>
      <c r="C2601">
        <v>568.79999999999995</v>
      </c>
      <c r="D2601">
        <v>-1.2700000000000001E-3</v>
      </c>
      <c r="E2601">
        <v>2.9099999999999998E-3</v>
      </c>
    </row>
    <row r="2602" spans="1:5" ht="14.25" customHeight="1">
      <c r="A2602" s="140">
        <v>44378</v>
      </c>
      <c r="B2602">
        <v>52318.6</v>
      </c>
      <c r="C2602">
        <v>590</v>
      </c>
      <c r="D2602">
        <v>-3.13E-3</v>
      </c>
      <c r="E2602">
        <v>3.6589999999999998E-2</v>
      </c>
    </row>
    <row r="2603" spans="1:5" ht="14.25" customHeight="1">
      <c r="A2603" s="140">
        <v>44379</v>
      </c>
      <c r="B2603">
        <v>52484.67</v>
      </c>
      <c r="C2603">
        <v>590.20000000000005</v>
      </c>
      <c r="D2603">
        <v>3.1700000000000001E-3</v>
      </c>
      <c r="E2603">
        <v>3.4000000000000002E-4</v>
      </c>
    </row>
    <row r="2604" spans="1:5" ht="14.25" customHeight="1">
      <c r="A2604" s="140">
        <v>44382</v>
      </c>
      <c r="B2604">
        <v>52880</v>
      </c>
      <c r="C2604">
        <v>587.5</v>
      </c>
      <c r="D2604">
        <v>7.4999999999999997E-3</v>
      </c>
      <c r="E2604">
        <v>-4.5900000000000003E-3</v>
      </c>
    </row>
    <row r="2605" spans="1:5" ht="14.25" customHeight="1">
      <c r="A2605" s="140">
        <v>44383</v>
      </c>
      <c r="B2605">
        <v>52861.18</v>
      </c>
      <c r="C2605">
        <v>591.70000000000005</v>
      </c>
      <c r="D2605">
        <v>-3.6000000000000002E-4</v>
      </c>
      <c r="E2605">
        <v>7.1199999999999996E-3</v>
      </c>
    </row>
    <row r="2606" spans="1:5" ht="14.25" customHeight="1">
      <c r="A2606" s="140">
        <v>44384</v>
      </c>
      <c r="B2606">
        <v>53054.76</v>
      </c>
      <c r="C2606">
        <v>594.20000000000005</v>
      </c>
      <c r="D2606">
        <v>3.6600000000000001E-3</v>
      </c>
      <c r="E2606">
        <v>4.2199999999999998E-3</v>
      </c>
    </row>
    <row r="2607" spans="1:5" ht="14.25" customHeight="1">
      <c r="A2607" s="140">
        <v>44385</v>
      </c>
      <c r="B2607">
        <v>52568.94</v>
      </c>
      <c r="C2607">
        <v>595.95000000000005</v>
      </c>
      <c r="D2607">
        <v>-9.1999999999999998E-3</v>
      </c>
      <c r="E2607">
        <v>2.9399999999999999E-3</v>
      </c>
    </row>
    <row r="2608" spans="1:5" ht="14.25" customHeight="1">
      <c r="A2608" s="140">
        <v>44386</v>
      </c>
      <c r="B2608">
        <v>52386.19</v>
      </c>
      <c r="C2608">
        <v>595.20000000000005</v>
      </c>
      <c r="D2608">
        <v>-3.48E-3</v>
      </c>
      <c r="E2608">
        <v>-1.2600000000000001E-3</v>
      </c>
    </row>
    <row r="2609" spans="1:5" ht="14.25" customHeight="1">
      <c r="A2609" s="140">
        <v>44389</v>
      </c>
      <c r="B2609">
        <v>52372.69</v>
      </c>
      <c r="C2609">
        <v>593.4</v>
      </c>
      <c r="D2609">
        <v>-2.5999999999999998E-4</v>
      </c>
      <c r="E2609">
        <v>-3.0300000000000001E-3</v>
      </c>
    </row>
    <row r="2610" spans="1:5" ht="14.25" customHeight="1">
      <c r="A2610" s="140">
        <v>44390</v>
      </c>
      <c r="B2610">
        <v>52769.73</v>
      </c>
      <c r="C2610">
        <v>589.15</v>
      </c>
      <c r="D2610">
        <v>7.5500000000000003E-3</v>
      </c>
      <c r="E2610">
        <v>-7.1900000000000002E-3</v>
      </c>
    </row>
    <row r="2611" spans="1:5" ht="14.25" customHeight="1">
      <c r="A2611" s="140">
        <v>44391</v>
      </c>
      <c r="B2611">
        <v>52904.05</v>
      </c>
      <c r="C2611">
        <v>585.4</v>
      </c>
      <c r="D2611">
        <v>2.5400000000000002E-3</v>
      </c>
      <c r="E2611">
        <v>-6.3899999999999998E-3</v>
      </c>
    </row>
    <row r="2612" spans="1:5" ht="14.25" customHeight="1">
      <c r="A2612" s="140">
        <v>44392</v>
      </c>
      <c r="B2612">
        <v>53158.85</v>
      </c>
      <c r="C2612">
        <v>584.25</v>
      </c>
      <c r="D2612">
        <v>4.7999999999999996E-3</v>
      </c>
      <c r="E2612">
        <v>-1.97E-3</v>
      </c>
    </row>
    <row r="2613" spans="1:5" ht="14.25" customHeight="1">
      <c r="A2613" s="140">
        <v>44393</v>
      </c>
      <c r="B2613">
        <v>53140.06</v>
      </c>
      <c r="C2613">
        <v>580.35</v>
      </c>
      <c r="D2613">
        <v>-3.5E-4</v>
      </c>
      <c r="E2613">
        <v>-6.7000000000000002E-3</v>
      </c>
    </row>
    <row r="2614" spans="1:5" ht="14.25" customHeight="1">
      <c r="A2614" s="140">
        <v>44396</v>
      </c>
      <c r="B2614">
        <v>52553.4</v>
      </c>
      <c r="C2614">
        <v>588.9</v>
      </c>
      <c r="D2614">
        <v>-1.11E-2</v>
      </c>
      <c r="E2614">
        <v>1.4630000000000001E-2</v>
      </c>
    </row>
    <row r="2615" spans="1:5" ht="14.25" customHeight="1">
      <c r="A2615" s="140">
        <v>44397</v>
      </c>
      <c r="B2615">
        <v>52198.51</v>
      </c>
      <c r="C2615">
        <v>588.29999999999995</v>
      </c>
      <c r="D2615">
        <v>-6.7799999999999996E-3</v>
      </c>
      <c r="E2615">
        <v>-1.0200000000000001E-3</v>
      </c>
    </row>
    <row r="2616" spans="1:5" ht="14.25" customHeight="1">
      <c r="A2616" s="140">
        <v>44399</v>
      </c>
      <c r="B2616">
        <v>52837.21</v>
      </c>
      <c r="C2616">
        <v>588</v>
      </c>
      <c r="D2616">
        <v>1.2160000000000001E-2</v>
      </c>
      <c r="E2616">
        <v>-5.1000000000000004E-4</v>
      </c>
    </row>
    <row r="2617" spans="1:5" ht="14.25" customHeight="1">
      <c r="A2617" s="140">
        <v>44400</v>
      </c>
      <c r="B2617">
        <v>52975.8</v>
      </c>
      <c r="C2617">
        <v>589.9</v>
      </c>
      <c r="D2617">
        <v>2.6199999999999999E-3</v>
      </c>
      <c r="E2617">
        <v>3.2299999999999998E-3</v>
      </c>
    </row>
    <row r="2618" spans="1:5" ht="14.25" customHeight="1">
      <c r="A2618" s="140">
        <v>44403</v>
      </c>
      <c r="B2618">
        <v>52852.27</v>
      </c>
      <c r="C2618">
        <v>595.20000000000005</v>
      </c>
      <c r="D2618">
        <v>-2.33E-3</v>
      </c>
      <c r="E2618">
        <v>8.94E-3</v>
      </c>
    </row>
    <row r="2619" spans="1:5" ht="14.25" customHeight="1">
      <c r="A2619" s="140">
        <v>44404</v>
      </c>
      <c r="B2619">
        <v>52578.76</v>
      </c>
      <c r="C2619">
        <v>588.45000000000005</v>
      </c>
      <c r="D2619">
        <v>-5.1900000000000002E-3</v>
      </c>
      <c r="E2619">
        <v>-1.141E-2</v>
      </c>
    </row>
    <row r="2620" spans="1:5" ht="14.25" customHeight="1">
      <c r="A2620" s="140">
        <v>44405</v>
      </c>
      <c r="B2620">
        <v>52443.71</v>
      </c>
      <c r="C2620">
        <v>590.25</v>
      </c>
      <c r="D2620">
        <v>-2.5699999999999998E-3</v>
      </c>
      <c r="E2620">
        <v>3.0500000000000002E-3</v>
      </c>
    </row>
    <row r="2621" spans="1:5" ht="14.25" customHeight="1">
      <c r="A2621" s="140">
        <v>44406</v>
      </c>
      <c r="B2621">
        <v>52653.07</v>
      </c>
      <c r="C2621">
        <v>584.6</v>
      </c>
      <c r="D2621">
        <v>3.98E-3</v>
      </c>
      <c r="E2621">
        <v>-9.6200000000000001E-3</v>
      </c>
    </row>
    <row r="2622" spans="1:5" ht="14.25" customHeight="1">
      <c r="A2622" s="140">
        <v>44407</v>
      </c>
      <c r="B2622">
        <v>52586.84</v>
      </c>
      <c r="C2622">
        <v>600.5</v>
      </c>
      <c r="D2622">
        <v>-1.2600000000000001E-3</v>
      </c>
      <c r="E2622">
        <v>2.683E-2</v>
      </c>
    </row>
    <row r="2623" spans="1:5" ht="14.25" customHeight="1">
      <c r="A2623" s="140">
        <v>44410</v>
      </c>
      <c r="B2623">
        <v>52950.63</v>
      </c>
      <c r="C2623">
        <v>599.20000000000005</v>
      </c>
      <c r="D2623">
        <v>6.8900000000000003E-3</v>
      </c>
      <c r="E2623">
        <v>-2.1700000000000001E-3</v>
      </c>
    </row>
    <row r="2624" spans="1:5" ht="14.25" customHeight="1">
      <c r="A2624" s="140">
        <v>44411</v>
      </c>
      <c r="B2624">
        <v>53823.360000000001</v>
      </c>
      <c r="C2624">
        <v>614</v>
      </c>
      <c r="D2624">
        <v>1.635E-2</v>
      </c>
      <c r="E2624">
        <v>2.4400000000000002E-2</v>
      </c>
    </row>
    <row r="2625" spans="1:5" ht="14.25" customHeight="1">
      <c r="A2625" s="140">
        <v>44412</v>
      </c>
      <c r="B2625">
        <v>54369.77</v>
      </c>
      <c r="C2625">
        <v>588</v>
      </c>
      <c r="D2625">
        <v>1.01E-2</v>
      </c>
      <c r="E2625">
        <v>-4.3270000000000003E-2</v>
      </c>
    </row>
    <row r="2626" spans="1:5" ht="14.25" customHeight="1">
      <c r="A2626" s="140">
        <v>44413</v>
      </c>
      <c r="B2626">
        <v>54492.84</v>
      </c>
      <c r="C2626">
        <v>589.45000000000005</v>
      </c>
      <c r="D2626">
        <v>2.2599999999999999E-3</v>
      </c>
      <c r="E2626">
        <v>2.4599999999999999E-3</v>
      </c>
    </row>
    <row r="2627" spans="1:5" ht="14.25" customHeight="1">
      <c r="A2627" s="140">
        <v>44414</v>
      </c>
      <c r="B2627">
        <v>54277.72</v>
      </c>
      <c r="C2627">
        <v>585.15</v>
      </c>
      <c r="D2627">
        <v>-3.96E-3</v>
      </c>
      <c r="E2627">
        <v>-7.3200000000000001E-3</v>
      </c>
    </row>
    <row r="2628" spans="1:5" ht="14.25" customHeight="1">
      <c r="A2628" s="140">
        <v>44417</v>
      </c>
      <c r="B2628">
        <v>54402.85</v>
      </c>
      <c r="C2628">
        <v>582.04999999999995</v>
      </c>
      <c r="D2628">
        <v>2.3E-3</v>
      </c>
      <c r="E2628">
        <v>-5.3099999999999996E-3</v>
      </c>
    </row>
    <row r="2629" spans="1:5" ht="14.25" customHeight="1">
      <c r="A2629" s="140">
        <v>44418</v>
      </c>
      <c r="B2629">
        <v>54554.66</v>
      </c>
      <c r="C2629">
        <v>579.45000000000005</v>
      </c>
      <c r="D2629">
        <v>2.7899999999999999E-3</v>
      </c>
      <c r="E2629">
        <v>-4.4799999999999996E-3</v>
      </c>
    </row>
    <row r="2630" spans="1:5" ht="14.25" customHeight="1">
      <c r="A2630" s="140">
        <v>44419</v>
      </c>
      <c r="B2630">
        <v>54525.93</v>
      </c>
      <c r="C2630">
        <v>575</v>
      </c>
      <c r="D2630">
        <v>-5.2999999999999998E-4</v>
      </c>
      <c r="E2630">
        <v>-7.7099999999999998E-3</v>
      </c>
    </row>
    <row r="2631" spans="1:5" ht="14.25" customHeight="1">
      <c r="A2631" s="140">
        <v>44420</v>
      </c>
      <c r="B2631">
        <v>54843.98</v>
      </c>
      <c r="C2631">
        <v>575.6</v>
      </c>
      <c r="D2631">
        <v>5.8199999999999997E-3</v>
      </c>
      <c r="E2631">
        <v>1.0399999999999999E-3</v>
      </c>
    </row>
    <row r="2632" spans="1:5" ht="14.25" customHeight="1">
      <c r="A2632" s="140">
        <v>44421</v>
      </c>
      <c r="B2632">
        <v>55437.29</v>
      </c>
      <c r="C2632">
        <v>588.29999999999995</v>
      </c>
      <c r="D2632">
        <v>1.076E-2</v>
      </c>
      <c r="E2632">
        <v>2.1819999999999999E-2</v>
      </c>
    </row>
    <row r="2633" spans="1:5" ht="14.25" customHeight="1">
      <c r="A2633" s="140">
        <v>44424</v>
      </c>
      <c r="B2633">
        <v>55582.58</v>
      </c>
      <c r="C2633">
        <v>588.45000000000005</v>
      </c>
      <c r="D2633">
        <v>2.6199999999999999E-3</v>
      </c>
      <c r="E2633">
        <v>2.5000000000000001E-4</v>
      </c>
    </row>
    <row r="2634" spans="1:5" ht="14.25" customHeight="1">
      <c r="A2634" s="140">
        <v>44425</v>
      </c>
      <c r="B2634">
        <v>55792.27</v>
      </c>
      <c r="C2634">
        <v>596.5</v>
      </c>
      <c r="D2634">
        <v>3.7699999999999999E-3</v>
      </c>
      <c r="E2634">
        <v>1.359E-2</v>
      </c>
    </row>
    <row r="2635" spans="1:5" ht="14.25" customHeight="1">
      <c r="A2635" s="140">
        <v>44426</v>
      </c>
      <c r="B2635">
        <v>55629.49</v>
      </c>
      <c r="C2635">
        <v>597.25</v>
      </c>
      <c r="D2635">
        <v>-2.9199999999999999E-3</v>
      </c>
      <c r="E2635">
        <v>1.2600000000000001E-3</v>
      </c>
    </row>
    <row r="2636" spans="1:5" ht="14.25" customHeight="1">
      <c r="A2636" s="140">
        <v>44428</v>
      </c>
      <c r="B2636">
        <v>55329.32</v>
      </c>
      <c r="C2636">
        <v>611.65</v>
      </c>
      <c r="D2636">
        <v>-5.4099999999999999E-3</v>
      </c>
      <c r="E2636">
        <v>2.3820000000000001E-2</v>
      </c>
    </row>
    <row r="2637" spans="1:5" ht="14.25" customHeight="1">
      <c r="A2637" s="140">
        <v>44431</v>
      </c>
      <c r="B2637">
        <v>55555.79</v>
      </c>
      <c r="C2637">
        <v>609.6</v>
      </c>
      <c r="D2637">
        <v>4.0800000000000003E-3</v>
      </c>
      <c r="E2637">
        <v>-3.3600000000000001E-3</v>
      </c>
    </row>
    <row r="2638" spans="1:5" ht="14.25" customHeight="1">
      <c r="A2638" s="140">
        <v>44432</v>
      </c>
      <c r="B2638">
        <v>55958.98</v>
      </c>
      <c r="C2638">
        <v>593.04999999999995</v>
      </c>
      <c r="D2638">
        <v>7.2300000000000003E-3</v>
      </c>
      <c r="E2638">
        <v>-2.7519999999999999E-2</v>
      </c>
    </row>
    <row r="2639" spans="1:5" ht="14.25" customHeight="1">
      <c r="A2639" s="140">
        <v>44433</v>
      </c>
      <c r="B2639">
        <v>55944.21</v>
      </c>
      <c r="C2639">
        <v>599.85</v>
      </c>
      <c r="D2639">
        <v>-2.5999999999999998E-4</v>
      </c>
      <c r="E2639">
        <v>1.14E-2</v>
      </c>
    </row>
    <row r="2640" spans="1:5" ht="14.25" customHeight="1">
      <c r="A2640" s="140">
        <v>44434</v>
      </c>
      <c r="B2640">
        <v>55949.1</v>
      </c>
      <c r="C2640">
        <v>605.9</v>
      </c>
      <c r="D2640">
        <v>9.0000000000000006E-5</v>
      </c>
      <c r="E2640">
        <v>1.004E-2</v>
      </c>
    </row>
    <row r="2641" spans="1:5" ht="14.25" customHeight="1">
      <c r="A2641" s="140">
        <v>44435</v>
      </c>
      <c r="B2641">
        <v>56124.72</v>
      </c>
      <c r="C2641">
        <v>608.70000000000005</v>
      </c>
      <c r="D2641">
        <v>3.13E-3</v>
      </c>
      <c r="E2641">
        <v>4.6100000000000004E-3</v>
      </c>
    </row>
    <row r="2642" spans="1:5" ht="14.25" customHeight="1">
      <c r="A2642" s="140">
        <v>44438</v>
      </c>
      <c r="B2642">
        <v>56889.760000000002</v>
      </c>
      <c r="C2642">
        <v>616.15</v>
      </c>
      <c r="D2642">
        <v>1.354E-2</v>
      </c>
      <c r="E2642">
        <v>1.2160000000000001E-2</v>
      </c>
    </row>
    <row r="2643" spans="1:5" ht="14.25" customHeight="1">
      <c r="A2643" s="140">
        <v>44439</v>
      </c>
      <c r="B2643">
        <v>57552.39</v>
      </c>
      <c r="C2643">
        <v>620.85</v>
      </c>
      <c r="D2643">
        <v>1.158E-2</v>
      </c>
      <c r="E2643">
        <v>7.6E-3</v>
      </c>
    </row>
    <row r="2644" spans="1:5" ht="14.25" customHeight="1">
      <c r="A2644" s="140">
        <v>44440</v>
      </c>
      <c r="B2644">
        <v>57338.21</v>
      </c>
      <c r="C2644">
        <v>625.65</v>
      </c>
      <c r="D2644">
        <v>-3.7299999999999998E-3</v>
      </c>
      <c r="E2644">
        <v>7.7000000000000002E-3</v>
      </c>
    </row>
    <row r="2645" spans="1:5" ht="14.25" customHeight="1">
      <c r="A2645" s="140">
        <v>44441</v>
      </c>
      <c r="B2645">
        <v>57852.54</v>
      </c>
      <c r="C2645">
        <v>640.70000000000005</v>
      </c>
      <c r="D2645">
        <v>8.9300000000000004E-3</v>
      </c>
      <c r="E2645">
        <v>2.3769999999999999E-2</v>
      </c>
    </row>
    <row r="2646" spans="1:5" ht="14.25" customHeight="1">
      <c r="A2646" s="140">
        <v>44442</v>
      </c>
      <c r="B2646">
        <v>58129.95</v>
      </c>
      <c r="C2646">
        <v>640.70000000000005</v>
      </c>
      <c r="D2646">
        <v>4.7800000000000004E-3</v>
      </c>
      <c r="E2646">
        <v>0</v>
      </c>
    </row>
    <row r="2647" spans="1:5" ht="14.25" customHeight="1">
      <c r="A2647" s="140">
        <v>44445</v>
      </c>
      <c r="B2647">
        <v>58296.91</v>
      </c>
      <c r="C2647">
        <v>634.79999999999995</v>
      </c>
      <c r="D2647">
        <v>2.8700000000000002E-3</v>
      </c>
      <c r="E2647">
        <v>-9.2499999999999995E-3</v>
      </c>
    </row>
    <row r="2648" spans="1:5" ht="14.25" customHeight="1">
      <c r="A2648" s="140">
        <v>44446</v>
      </c>
      <c r="B2648">
        <v>58279.48</v>
      </c>
      <c r="C2648">
        <v>637.54999999999995</v>
      </c>
      <c r="D2648">
        <v>-2.9999999999999997E-4</v>
      </c>
      <c r="E2648">
        <v>4.3200000000000001E-3</v>
      </c>
    </row>
    <row r="2649" spans="1:5" ht="14.25" customHeight="1">
      <c r="A2649" s="140">
        <v>44447</v>
      </c>
      <c r="B2649">
        <v>58250.26</v>
      </c>
      <c r="C2649">
        <v>640.75</v>
      </c>
      <c r="D2649">
        <v>-5.0000000000000001E-4</v>
      </c>
      <c r="E2649">
        <v>5.0099999999999997E-3</v>
      </c>
    </row>
    <row r="2650" spans="1:5" ht="14.25" customHeight="1">
      <c r="A2650" s="140">
        <v>44448</v>
      </c>
      <c r="B2650">
        <v>58305.07</v>
      </c>
      <c r="C2650">
        <v>638.25</v>
      </c>
      <c r="D2650">
        <v>9.3999999999999997E-4</v>
      </c>
      <c r="E2650">
        <v>-3.9100000000000003E-3</v>
      </c>
    </row>
    <row r="2651" spans="1:5" ht="14.25" customHeight="1">
      <c r="A2651" s="140">
        <v>44452</v>
      </c>
      <c r="B2651">
        <v>58177.760000000002</v>
      </c>
      <c r="C2651">
        <v>639.54999999999995</v>
      </c>
      <c r="D2651">
        <v>-2.1900000000000001E-3</v>
      </c>
      <c r="E2651">
        <v>2.0300000000000001E-3</v>
      </c>
    </row>
    <row r="2652" spans="1:5" ht="14.25" customHeight="1">
      <c r="A2652" s="140">
        <v>44453</v>
      </c>
      <c r="B2652">
        <v>58247.09</v>
      </c>
      <c r="C2652">
        <v>639.35</v>
      </c>
      <c r="D2652">
        <v>1.1900000000000001E-3</v>
      </c>
      <c r="E2652">
        <v>-3.1E-4</v>
      </c>
    </row>
    <row r="2653" spans="1:5" ht="14.25" customHeight="1">
      <c r="A2653" s="140">
        <v>44454</v>
      </c>
      <c r="B2653">
        <v>58723.199999999997</v>
      </c>
      <c r="C2653">
        <v>637.15</v>
      </c>
      <c r="D2653">
        <v>8.1399999999999997E-3</v>
      </c>
      <c r="E2653">
        <v>-3.4499999999999999E-3</v>
      </c>
    </row>
    <row r="2654" spans="1:5" ht="14.25" customHeight="1">
      <c r="A2654" s="140">
        <v>44455</v>
      </c>
      <c r="B2654">
        <v>59141.16</v>
      </c>
      <c r="C2654">
        <v>640.35</v>
      </c>
      <c r="D2654">
        <v>7.0899999999999999E-3</v>
      </c>
      <c r="E2654">
        <v>5.0099999999999997E-3</v>
      </c>
    </row>
    <row r="2655" spans="1:5" ht="14.25" customHeight="1">
      <c r="A2655" s="140">
        <v>44456</v>
      </c>
      <c r="B2655">
        <v>59015.89</v>
      </c>
      <c r="C2655">
        <v>653.95000000000005</v>
      </c>
      <c r="D2655">
        <v>-2.1199999999999999E-3</v>
      </c>
      <c r="E2655">
        <v>2.102E-2</v>
      </c>
    </row>
    <row r="2656" spans="1:5" ht="14.25" customHeight="1">
      <c r="A2656" s="140">
        <v>44459</v>
      </c>
      <c r="B2656">
        <v>58490.93</v>
      </c>
      <c r="C2656">
        <v>645.54999999999995</v>
      </c>
      <c r="D2656">
        <v>-8.94E-3</v>
      </c>
      <c r="E2656">
        <v>-1.2930000000000001E-2</v>
      </c>
    </row>
    <row r="2657" spans="1:5" ht="14.25" customHeight="1">
      <c r="A2657" s="140">
        <v>44460</v>
      </c>
      <c r="B2657">
        <v>59005.27</v>
      </c>
      <c r="C2657">
        <v>651.15</v>
      </c>
      <c r="D2657">
        <v>8.7600000000000004E-3</v>
      </c>
      <c r="E2657">
        <v>8.6400000000000001E-3</v>
      </c>
    </row>
    <row r="2658" spans="1:5" ht="14.25" customHeight="1">
      <c r="A2658" s="140">
        <v>44461</v>
      </c>
      <c r="B2658">
        <v>58927.33</v>
      </c>
      <c r="C2658">
        <v>648.1</v>
      </c>
      <c r="D2658">
        <v>-1.32E-3</v>
      </c>
      <c r="E2658">
        <v>-4.7000000000000002E-3</v>
      </c>
    </row>
    <row r="2659" spans="1:5" ht="14.25" customHeight="1">
      <c r="A2659" s="140">
        <v>44462</v>
      </c>
      <c r="B2659">
        <v>59885.36</v>
      </c>
      <c r="C2659">
        <v>647.15</v>
      </c>
      <c r="D2659">
        <v>1.6129999999999999E-2</v>
      </c>
      <c r="E2659">
        <v>-1.47E-3</v>
      </c>
    </row>
    <row r="2660" spans="1:5" ht="14.25" customHeight="1">
      <c r="A2660" s="140">
        <v>44463</v>
      </c>
      <c r="B2660">
        <v>60048.47</v>
      </c>
      <c r="C2660">
        <v>651.65</v>
      </c>
      <c r="D2660">
        <v>2.7200000000000002E-3</v>
      </c>
      <c r="E2660">
        <v>6.9300000000000004E-3</v>
      </c>
    </row>
    <row r="2661" spans="1:5" ht="14.25" customHeight="1">
      <c r="A2661" s="140">
        <v>44466</v>
      </c>
      <c r="B2661">
        <v>60077.88</v>
      </c>
      <c r="C2661">
        <v>633.1</v>
      </c>
      <c r="D2661">
        <v>4.8999999999999998E-4</v>
      </c>
      <c r="E2661">
        <v>-2.8879999999999999E-2</v>
      </c>
    </row>
    <row r="2662" spans="1:5" ht="14.25" customHeight="1">
      <c r="A2662" s="140">
        <v>44467</v>
      </c>
      <c r="B2662">
        <v>59667.6</v>
      </c>
      <c r="C2662">
        <v>626.79999999999995</v>
      </c>
      <c r="D2662">
        <v>-6.8500000000000002E-3</v>
      </c>
      <c r="E2662">
        <v>-0.01</v>
      </c>
    </row>
    <row r="2663" spans="1:5" ht="14.25" customHeight="1">
      <c r="A2663" s="140">
        <v>44468</v>
      </c>
      <c r="B2663">
        <v>59413.27</v>
      </c>
      <c r="C2663">
        <v>623.1</v>
      </c>
      <c r="D2663">
        <v>-4.2700000000000004E-3</v>
      </c>
      <c r="E2663">
        <v>-5.9199999999999999E-3</v>
      </c>
    </row>
    <row r="2664" spans="1:5" ht="14.25" customHeight="1">
      <c r="A2664" s="140">
        <v>44469</v>
      </c>
      <c r="B2664">
        <v>59126.36</v>
      </c>
      <c r="C2664">
        <v>617.1</v>
      </c>
      <c r="D2664">
        <v>-4.8399999999999997E-3</v>
      </c>
      <c r="E2664">
        <v>-9.6799999999999994E-3</v>
      </c>
    </row>
    <row r="2665" spans="1:5" ht="14.25" customHeight="1">
      <c r="A2665" s="140">
        <v>44470</v>
      </c>
      <c r="B2665">
        <v>58765.58</v>
      </c>
      <c r="C2665">
        <v>617.85</v>
      </c>
      <c r="D2665">
        <v>-6.1199999999999996E-3</v>
      </c>
      <c r="E2665">
        <v>1.2099999999999999E-3</v>
      </c>
    </row>
    <row r="2666" spans="1:5" ht="14.25" customHeight="1">
      <c r="A2666" s="140">
        <v>44473</v>
      </c>
      <c r="B2666">
        <v>59299.32</v>
      </c>
      <c r="C2666">
        <v>624.20000000000005</v>
      </c>
      <c r="D2666">
        <v>9.0399999999999994E-3</v>
      </c>
      <c r="E2666">
        <v>1.023E-2</v>
      </c>
    </row>
    <row r="2667" spans="1:5" ht="14.25" customHeight="1">
      <c r="A2667" s="140">
        <v>44474</v>
      </c>
      <c r="B2667">
        <v>59744.88</v>
      </c>
      <c r="C2667">
        <v>616.04999999999995</v>
      </c>
      <c r="D2667">
        <v>7.4900000000000001E-3</v>
      </c>
      <c r="E2667">
        <v>-1.3140000000000001E-2</v>
      </c>
    </row>
    <row r="2668" spans="1:5" ht="14.25" customHeight="1">
      <c r="A2668" s="140">
        <v>44475</v>
      </c>
      <c r="B2668">
        <v>59189.73</v>
      </c>
      <c r="C2668">
        <v>615.65</v>
      </c>
      <c r="D2668">
        <v>-9.3399999999999993E-3</v>
      </c>
      <c r="E2668">
        <v>-6.4999999999999997E-4</v>
      </c>
    </row>
    <row r="2669" spans="1:5" ht="14.25" customHeight="1">
      <c r="A2669" s="140">
        <v>44476</v>
      </c>
      <c r="B2669">
        <v>59677.83</v>
      </c>
      <c r="C2669">
        <v>615</v>
      </c>
      <c r="D2669">
        <v>8.2100000000000003E-3</v>
      </c>
      <c r="E2669">
        <v>-1.06E-3</v>
      </c>
    </row>
    <row r="2670" spans="1:5" ht="14.25" customHeight="1">
      <c r="A2670" s="140">
        <v>44477</v>
      </c>
      <c r="B2670">
        <v>60059.06</v>
      </c>
      <c r="C2670">
        <v>607.15</v>
      </c>
      <c r="D2670">
        <v>6.3699999999999998E-3</v>
      </c>
      <c r="E2670">
        <v>-1.285E-2</v>
      </c>
    </row>
    <row r="2671" spans="1:5" ht="14.25" customHeight="1">
      <c r="A2671" s="140">
        <v>44480</v>
      </c>
      <c r="B2671">
        <v>60135.78</v>
      </c>
      <c r="C2671">
        <v>608.9</v>
      </c>
      <c r="D2671">
        <v>1.2800000000000001E-3</v>
      </c>
      <c r="E2671">
        <v>2.8800000000000002E-3</v>
      </c>
    </row>
    <row r="2672" spans="1:5" ht="14.25" customHeight="1">
      <c r="A2672" s="140">
        <v>44481</v>
      </c>
      <c r="B2672">
        <v>60284.31</v>
      </c>
      <c r="C2672">
        <v>616.9</v>
      </c>
      <c r="D2672">
        <v>2.47E-3</v>
      </c>
      <c r="E2672">
        <v>1.3050000000000001E-2</v>
      </c>
    </row>
    <row r="2673" spans="1:5" ht="14.25" customHeight="1">
      <c r="A2673" s="140">
        <v>44482</v>
      </c>
      <c r="B2673">
        <v>60737.05</v>
      </c>
      <c r="C2673">
        <v>623.5</v>
      </c>
      <c r="D2673">
        <v>7.4799999999999997E-3</v>
      </c>
      <c r="E2673">
        <v>1.064E-2</v>
      </c>
    </row>
    <row r="2674" spans="1:5" ht="14.25" customHeight="1">
      <c r="A2674" s="140">
        <v>44483</v>
      </c>
      <c r="B2674">
        <v>61305.95</v>
      </c>
      <c r="C2674">
        <v>615.65</v>
      </c>
      <c r="D2674">
        <v>9.3200000000000002E-3</v>
      </c>
      <c r="E2674">
        <v>-1.2670000000000001E-2</v>
      </c>
    </row>
    <row r="2675" spans="1:5" ht="14.25" customHeight="1">
      <c r="A2675" s="140">
        <v>44487</v>
      </c>
      <c r="B2675">
        <v>61765.59</v>
      </c>
      <c r="C2675">
        <v>613.95000000000005</v>
      </c>
      <c r="D2675">
        <v>7.4700000000000001E-3</v>
      </c>
      <c r="E2675">
        <v>-2.7699999999999999E-3</v>
      </c>
    </row>
    <row r="2676" spans="1:5" ht="14.25" customHeight="1">
      <c r="A2676" s="140">
        <v>44488</v>
      </c>
      <c r="B2676">
        <v>61716.05</v>
      </c>
      <c r="C2676">
        <v>605.5</v>
      </c>
      <c r="D2676">
        <v>-8.0000000000000004E-4</v>
      </c>
      <c r="E2676">
        <v>-1.3860000000000001E-2</v>
      </c>
    </row>
    <row r="2677" spans="1:5" ht="14.25" customHeight="1">
      <c r="A2677" s="140">
        <v>44489</v>
      </c>
      <c r="B2677">
        <v>61259.96</v>
      </c>
      <c r="C2677">
        <v>593.1</v>
      </c>
      <c r="D2677">
        <v>-7.4200000000000004E-3</v>
      </c>
      <c r="E2677">
        <v>-2.069E-2</v>
      </c>
    </row>
    <row r="2678" spans="1:5" ht="14.25" customHeight="1">
      <c r="A2678" s="140">
        <v>44490</v>
      </c>
      <c r="B2678">
        <v>60923.5</v>
      </c>
      <c r="C2678">
        <v>587.5</v>
      </c>
      <c r="D2678">
        <v>-5.5100000000000001E-3</v>
      </c>
      <c r="E2678">
        <v>-9.4900000000000002E-3</v>
      </c>
    </row>
    <row r="2679" spans="1:5" ht="14.25" customHeight="1">
      <c r="A2679" s="140">
        <v>44491</v>
      </c>
      <c r="B2679">
        <v>60821.62</v>
      </c>
      <c r="C2679">
        <v>590.9</v>
      </c>
      <c r="D2679">
        <v>-1.67E-3</v>
      </c>
      <c r="E2679">
        <v>5.77E-3</v>
      </c>
    </row>
    <row r="2680" spans="1:5" ht="14.25" customHeight="1">
      <c r="A2680" s="140">
        <v>44494</v>
      </c>
      <c r="B2680">
        <v>60967.05</v>
      </c>
      <c r="C2680">
        <v>581.95000000000005</v>
      </c>
      <c r="D2680">
        <v>2.3900000000000002E-3</v>
      </c>
      <c r="E2680">
        <v>-1.5259999999999999E-2</v>
      </c>
    </row>
    <row r="2681" spans="1:5" ht="14.25" customHeight="1">
      <c r="A2681" s="140">
        <v>44495</v>
      </c>
      <c r="B2681">
        <v>61350.26</v>
      </c>
      <c r="C2681">
        <v>581.25</v>
      </c>
      <c r="D2681">
        <v>6.2700000000000004E-3</v>
      </c>
      <c r="E2681">
        <v>-1.1999999999999999E-3</v>
      </c>
    </row>
    <row r="2682" spans="1:5" ht="14.25" customHeight="1">
      <c r="A2682" s="140">
        <v>44496</v>
      </c>
      <c r="B2682">
        <v>61143.33</v>
      </c>
      <c r="C2682">
        <v>591.45000000000005</v>
      </c>
      <c r="D2682">
        <v>-3.3800000000000002E-3</v>
      </c>
      <c r="E2682">
        <v>1.7399999999999999E-2</v>
      </c>
    </row>
    <row r="2683" spans="1:5" ht="14.25" customHeight="1">
      <c r="A2683" s="140">
        <v>44497</v>
      </c>
      <c r="B2683">
        <v>59984.7</v>
      </c>
      <c r="C2683">
        <v>590.1</v>
      </c>
      <c r="D2683">
        <v>-1.9130000000000001E-2</v>
      </c>
      <c r="E2683">
        <v>-2.2899999999999999E-3</v>
      </c>
    </row>
    <row r="2684" spans="1:5" ht="14.25" customHeight="1">
      <c r="A2684" s="140">
        <v>44498</v>
      </c>
      <c r="B2684">
        <v>59306.93</v>
      </c>
      <c r="C2684">
        <v>586.29999999999995</v>
      </c>
      <c r="D2684">
        <v>-1.136E-2</v>
      </c>
      <c r="E2684">
        <v>-6.4599999999999996E-3</v>
      </c>
    </row>
    <row r="2685" spans="1:5" ht="14.25" customHeight="1">
      <c r="A2685" s="140">
        <v>44501</v>
      </c>
      <c r="B2685">
        <v>60138.46</v>
      </c>
      <c r="C2685">
        <v>598</v>
      </c>
      <c r="D2685">
        <v>1.392E-2</v>
      </c>
      <c r="E2685">
        <v>1.976E-2</v>
      </c>
    </row>
    <row r="2686" spans="1:5" ht="14.25" customHeight="1">
      <c r="A2686" s="140">
        <v>44502</v>
      </c>
      <c r="B2686">
        <v>60029.06</v>
      </c>
      <c r="C2686">
        <v>598.29999999999995</v>
      </c>
      <c r="D2686">
        <v>-1.82E-3</v>
      </c>
      <c r="E2686">
        <v>5.0000000000000001E-4</v>
      </c>
    </row>
    <row r="2687" spans="1:5" ht="14.25" customHeight="1">
      <c r="A2687" s="140">
        <v>44503</v>
      </c>
      <c r="B2687">
        <v>59771.92</v>
      </c>
      <c r="C2687">
        <v>610.4</v>
      </c>
      <c r="D2687">
        <v>-4.2900000000000004E-3</v>
      </c>
      <c r="E2687">
        <v>2.002E-2</v>
      </c>
    </row>
    <row r="2688" spans="1:5" ht="14.25" customHeight="1">
      <c r="A2688" s="140">
        <v>44504</v>
      </c>
      <c r="B2688">
        <v>60067.62</v>
      </c>
      <c r="C2688">
        <v>612.6</v>
      </c>
      <c r="D2688">
        <v>4.9300000000000004E-3</v>
      </c>
      <c r="E2688">
        <v>3.5999999999999999E-3</v>
      </c>
    </row>
    <row r="2689" spans="1:5" ht="14.25" customHeight="1">
      <c r="A2689" s="140">
        <v>44508</v>
      </c>
      <c r="B2689">
        <v>60545.61</v>
      </c>
      <c r="C2689">
        <v>606.85</v>
      </c>
      <c r="D2689">
        <v>7.9299999999999995E-3</v>
      </c>
      <c r="E2689">
        <v>-9.4299999999999991E-3</v>
      </c>
    </row>
    <row r="2690" spans="1:5" ht="14.25" customHeight="1">
      <c r="A2690" s="140">
        <v>44509</v>
      </c>
      <c r="B2690">
        <v>60433.45</v>
      </c>
      <c r="C2690">
        <v>603</v>
      </c>
      <c r="D2690">
        <v>-1.8500000000000001E-3</v>
      </c>
      <c r="E2690">
        <v>-6.3600000000000002E-3</v>
      </c>
    </row>
    <row r="2691" spans="1:5" ht="14.25" customHeight="1">
      <c r="A2691" s="140">
        <v>44510</v>
      </c>
      <c r="B2691">
        <v>60352.82</v>
      </c>
      <c r="C2691">
        <v>605.6</v>
      </c>
      <c r="D2691">
        <v>-1.34E-3</v>
      </c>
      <c r="E2691">
        <v>4.3E-3</v>
      </c>
    </row>
    <row r="2692" spans="1:5" ht="14.25" customHeight="1">
      <c r="A2692" s="140">
        <v>44511</v>
      </c>
      <c r="B2692">
        <v>59919.69</v>
      </c>
      <c r="C2692">
        <v>596.79999999999995</v>
      </c>
      <c r="D2692">
        <v>-7.1999999999999998E-3</v>
      </c>
      <c r="E2692">
        <v>-1.464E-2</v>
      </c>
    </row>
    <row r="2693" spans="1:5" ht="14.25" customHeight="1">
      <c r="A2693" s="140">
        <v>44512</v>
      </c>
      <c r="B2693">
        <v>60686.69</v>
      </c>
      <c r="C2693">
        <v>602.04999999999995</v>
      </c>
      <c r="D2693">
        <v>1.272E-2</v>
      </c>
      <c r="E2693">
        <v>8.7600000000000004E-3</v>
      </c>
    </row>
    <row r="2694" spans="1:5" ht="14.25" customHeight="1">
      <c r="A2694" s="140">
        <v>44515</v>
      </c>
      <c r="B2694">
        <v>60718.71</v>
      </c>
      <c r="C2694">
        <v>603.6</v>
      </c>
      <c r="D2694">
        <v>5.2999999999999998E-4</v>
      </c>
      <c r="E2694">
        <v>2.5699999999999998E-3</v>
      </c>
    </row>
    <row r="2695" spans="1:5" ht="14.25" customHeight="1">
      <c r="A2695" s="140">
        <v>44516</v>
      </c>
      <c r="B2695">
        <v>60322.37</v>
      </c>
      <c r="C2695">
        <v>610</v>
      </c>
      <c r="D2695">
        <v>-6.5500000000000003E-3</v>
      </c>
      <c r="E2695">
        <v>1.055E-2</v>
      </c>
    </row>
    <row r="2696" spans="1:5" ht="14.25" customHeight="1">
      <c r="A2696" s="140">
        <v>44517</v>
      </c>
      <c r="B2696">
        <v>60008.33</v>
      </c>
      <c r="C2696">
        <v>607.15</v>
      </c>
      <c r="D2696">
        <v>-5.2199999999999998E-3</v>
      </c>
      <c r="E2696">
        <v>-4.6800000000000001E-3</v>
      </c>
    </row>
    <row r="2697" spans="1:5" ht="14.25" customHeight="1">
      <c r="A2697" s="140">
        <v>44518</v>
      </c>
      <c r="B2697">
        <v>59636.01</v>
      </c>
      <c r="C2697">
        <v>608.70000000000005</v>
      </c>
      <c r="D2697">
        <v>-6.2199999999999998E-3</v>
      </c>
      <c r="E2697">
        <v>2.5500000000000002E-3</v>
      </c>
    </row>
    <row r="2698" spans="1:5" ht="14.25" customHeight="1">
      <c r="A2698" s="140">
        <v>44522</v>
      </c>
      <c r="B2698">
        <v>58465.89</v>
      </c>
      <c r="C2698">
        <v>606.70000000000005</v>
      </c>
      <c r="D2698">
        <v>-1.9820000000000001E-2</v>
      </c>
      <c r="E2698">
        <v>-3.29E-3</v>
      </c>
    </row>
    <row r="2699" spans="1:5" ht="14.25" customHeight="1">
      <c r="A2699" s="140">
        <v>44523</v>
      </c>
      <c r="B2699">
        <v>58664.33</v>
      </c>
      <c r="C2699">
        <v>611.4</v>
      </c>
      <c r="D2699">
        <v>3.3899999999999998E-3</v>
      </c>
      <c r="E2699">
        <v>7.7200000000000003E-3</v>
      </c>
    </row>
    <row r="2700" spans="1:5" ht="14.25" customHeight="1">
      <c r="A2700" s="140">
        <v>44524</v>
      </c>
      <c r="B2700">
        <v>58340.99</v>
      </c>
      <c r="C2700">
        <v>603</v>
      </c>
      <c r="D2700">
        <v>-5.5300000000000002E-3</v>
      </c>
      <c r="E2700">
        <v>-1.383E-2</v>
      </c>
    </row>
    <row r="2701" spans="1:5" ht="14.25" customHeight="1">
      <c r="A2701" s="140">
        <v>44525</v>
      </c>
      <c r="B2701">
        <v>58795.09</v>
      </c>
      <c r="C2701">
        <v>606.20000000000005</v>
      </c>
      <c r="D2701">
        <v>7.7499999999999999E-3</v>
      </c>
      <c r="E2701">
        <v>5.2900000000000004E-3</v>
      </c>
    </row>
    <row r="2702" spans="1:5" ht="14.25" customHeight="1">
      <c r="A2702" s="140">
        <v>44526</v>
      </c>
      <c r="B2702">
        <v>57107.15</v>
      </c>
      <c r="C2702">
        <v>602</v>
      </c>
      <c r="D2702">
        <v>-2.913E-2</v>
      </c>
      <c r="E2702">
        <v>-6.9499999999999996E-3</v>
      </c>
    </row>
    <row r="2703" spans="1:5" ht="14.25" customHeight="1">
      <c r="A2703" s="140">
        <v>44529</v>
      </c>
      <c r="B2703">
        <v>57260.58</v>
      </c>
      <c r="C2703">
        <v>597.45000000000005</v>
      </c>
      <c r="D2703">
        <v>2.6800000000000001E-3</v>
      </c>
      <c r="E2703">
        <v>-7.5900000000000004E-3</v>
      </c>
    </row>
    <row r="2704" spans="1:5" ht="14.25" customHeight="1">
      <c r="A2704" s="140">
        <v>44530</v>
      </c>
      <c r="B2704">
        <v>57064.87</v>
      </c>
      <c r="C2704">
        <v>595.4</v>
      </c>
      <c r="D2704">
        <v>-3.4199999999999999E-3</v>
      </c>
      <c r="E2704">
        <v>-3.4399999999999999E-3</v>
      </c>
    </row>
    <row r="2705" spans="1:5" ht="14.25" customHeight="1">
      <c r="A2705" s="140">
        <v>44531</v>
      </c>
      <c r="B2705">
        <v>57684.79</v>
      </c>
      <c r="C2705">
        <v>576.75</v>
      </c>
      <c r="D2705">
        <v>1.0800000000000001E-2</v>
      </c>
      <c r="E2705">
        <v>-3.1820000000000001E-2</v>
      </c>
    </row>
    <row r="2706" spans="1:5" ht="14.25" customHeight="1">
      <c r="A2706" s="140">
        <v>44532</v>
      </c>
      <c r="B2706">
        <v>58461.29</v>
      </c>
      <c r="C2706">
        <v>578.6</v>
      </c>
      <c r="D2706">
        <v>1.337E-2</v>
      </c>
      <c r="E2706">
        <v>3.2000000000000002E-3</v>
      </c>
    </row>
    <row r="2707" spans="1:5" ht="14.25" customHeight="1">
      <c r="A2707" s="140">
        <v>44533</v>
      </c>
      <c r="B2707">
        <v>57696.46</v>
      </c>
      <c r="C2707">
        <v>581.1</v>
      </c>
      <c r="D2707">
        <v>-1.3169999999999999E-2</v>
      </c>
      <c r="E2707">
        <v>4.3099999999999996E-3</v>
      </c>
    </row>
    <row r="2708" spans="1:5" ht="14.25" customHeight="1">
      <c r="A2708" s="140">
        <v>44536</v>
      </c>
      <c r="B2708">
        <v>56747.14</v>
      </c>
      <c r="C2708">
        <v>567.35</v>
      </c>
      <c r="D2708">
        <v>-1.6590000000000001E-2</v>
      </c>
      <c r="E2708">
        <v>-2.3949999999999999E-2</v>
      </c>
    </row>
    <row r="2709" spans="1:5" ht="14.25" customHeight="1">
      <c r="A2709" s="140">
        <v>44537</v>
      </c>
      <c r="B2709">
        <v>57633.65</v>
      </c>
      <c r="C2709">
        <v>572.29999999999995</v>
      </c>
      <c r="D2709">
        <v>1.55E-2</v>
      </c>
      <c r="E2709">
        <v>8.6899999999999998E-3</v>
      </c>
    </row>
    <row r="2710" spans="1:5" ht="14.25" customHeight="1">
      <c r="A2710" s="140">
        <v>44538</v>
      </c>
      <c r="B2710">
        <v>58649.68</v>
      </c>
      <c r="C2710">
        <v>574.75</v>
      </c>
      <c r="D2710">
        <v>1.7479999999999999E-2</v>
      </c>
      <c r="E2710">
        <v>4.2700000000000004E-3</v>
      </c>
    </row>
    <row r="2711" spans="1:5" ht="14.25" customHeight="1">
      <c r="A2711" s="140">
        <v>44539</v>
      </c>
      <c r="B2711">
        <v>58807.13</v>
      </c>
      <c r="C2711">
        <v>579.5</v>
      </c>
      <c r="D2711">
        <v>2.6800000000000001E-3</v>
      </c>
      <c r="E2711">
        <v>8.2299999999999995E-3</v>
      </c>
    </row>
    <row r="2712" spans="1:5" ht="14.25" customHeight="1">
      <c r="A2712" s="140">
        <v>44540</v>
      </c>
      <c r="B2712">
        <v>58786.67</v>
      </c>
      <c r="C2712">
        <v>578</v>
      </c>
      <c r="D2712">
        <v>-3.5E-4</v>
      </c>
      <c r="E2712">
        <v>-2.5899999999999999E-3</v>
      </c>
    </row>
    <row r="2713" spans="1:5" ht="14.25" customHeight="1">
      <c r="A2713" s="140">
        <v>44543</v>
      </c>
      <c r="B2713">
        <v>58283.42</v>
      </c>
      <c r="C2713">
        <v>578.15</v>
      </c>
      <c r="D2713">
        <v>-8.6E-3</v>
      </c>
      <c r="E2713">
        <v>2.5999999999999998E-4</v>
      </c>
    </row>
    <row r="2714" spans="1:5" ht="14.25" customHeight="1">
      <c r="A2714" s="140">
        <v>44544</v>
      </c>
      <c r="B2714">
        <v>58117.09</v>
      </c>
      <c r="C2714">
        <v>579.70000000000005</v>
      </c>
      <c r="D2714">
        <v>-2.8600000000000001E-3</v>
      </c>
      <c r="E2714">
        <v>2.6800000000000001E-3</v>
      </c>
    </row>
    <row r="2715" spans="1:5" ht="14.25" customHeight="1">
      <c r="A2715" s="140">
        <v>44545</v>
      </c>
      <c r="B2715">
        <v>57788.03</v>
      </c>
      <c r="C2715">
        <v>573.25</v>
      </c>
      <c r="D2715">
        <v>-5.6800000000000002E-3</v>
      </c>
      <c r="E2715">
        <v>-1.119E-2</v>
      </c>
    </row>
    <row r="2716" spans="1:5" ht="14.25" customHeight="1">
      <c r="A2716" s="140">
        <v>44546</v>
      </c>
      <c r="B2716">
        <v>57901.14</v>
      </c>
      <c r="C2716">
        <v>570.70000000000005</v>
      </c>
      <c r="D2716">
        <v>1.9599999999999999E-3</v>
      </c>
      <c r="E2716">
        <v>-4.4600000000000004E-3</v>
      </c>
    </row>
    <row r="2717" spans="1:5" ht="14.25" customHeight="1">
      <c r="A2717" s="140">
        <v>44547</v>
      </c>
      <c r="B2717">
        <v>57011.74</v>
      </c>
      <c r="C2717">
        <v>564.79999999999995</v>
      </c>
      <c r="D2717">
        <v>-1.5480000000000001E-2</v>
      </c>
      <c r="E2717">
        <v>-1.039E-2</v>
      </c>
    </row>
    <row r="2718" spans="1:5" ht="14.25" customHeight="1">
      <c r="A2718" s="140">
        <v>44550</v>
      </c>
      <c r="B2718">
        <v>55822.01</v>
      </c>
      <c r="C2718">
        <v>558.29999999999995</v>
      </c>
      <c r="D2718">
        <v>-2.1090000000000001E-2</v>
      </c>
      <c r="E2718">
        <v>-1.158E-2</v>
      </c>
    </row>
    <row r="2719" spans="1:5" ht="14.25" customHeight="1">
      <c r="A2719" s="140">
        <v>44551</v>
      </c>
      <c r="B2719">
        <v>56319.01</v>
      </c>
      <c r="C2719">
        <v>559.35</v>
      </c>
      <c r="D2719">
        <v>8.8599999999999998E-3</v>
      </c>
      <c r="E2719">
        <v>1.8799999999999999E-3</v>
      </c>
    </row>
    <row r="2720" spans="1:5" ht="14.25" customHeight="1">
      <c r="A2720" s="140">
        <v>44552</v>
      </c>
      <c r="B2720">
        <v>56930.559999999998</v>
      </c>
      <c r="C2720">
        <v>564.25</v>
      </c>
      <c r="D2720">
        <v>1.0800000000000001E-2</v>
      </c>
      <c r="E2720">
        <v>8.7200000000000003E-3</v>
      </c>
    </row>
    <row r="2721" spans="1:5" ht="14.25" customHeight="1">
      <c r="A2721" s="140">
        <v>44553</v>
      </c>
      <c r="B2721">
        <v>57315.28</v>
      </c>
      <c r="C2721">
        <v>569.65</v>
      </c>
      <c r="D2721">
        <v>6.7299999999999999E-3</v>
      </c>
      <c r="E2721">
        <v>9.5200000000000007E-3</v>
      </c>
    </row>
    <row r="2722" spans="1:5" ht="14.25" customHeight="1">
      <c r="A2722" s="140">
        <v>44554</v>
      </c>
      <c r="B2722">
        <v>57124.31</v>
      </c>
      <c r="C2722">
        <v>564</v>
      </c>
      <c r="D2722">
        <v>-3.3400000000000001E-3</v>
      </c>
      <c r="E2722">
        <v>-9.9699999999999997E-3</v>
      </c>
    </row>
    <row r="2723" spans="1:5" ht="14.25" customHeight="1">
      <c r="A2723" s="140">
        <v>44557</v>
      </c>
      <c r="B2723">
        <v>57420.24</v>
      </c>
      <c r="C2723">
        <v>561.35</v>
      </c>
      <c r="D2723">
        <v>5.1700000000000001E-3</v>
      </c>
      <c r="E2723">
        <v>-4.7099999999999998E-3</v>
      </c>
    </row>
    <row r="2724" spans="1:5" ht="14.25" customHeight="1">
      <c r="A2724" s="140">
        <v>44558</v>
      </c>
      <c r="B2724">
        <v>57897.48</v>
      </c>
      <c r="C2724">
        <v>562.45000000000005</v>
      </c>
      <c r="D2724">
        <v>8.2799999999999992E-3</v>
      </c>
      <c r="E2724">
        <v>1.9599999999999999E-3</v>
      </c>
    </row>
    <row r="2725" spans="1:5" ht="14.25" customHeight="1">
      <c r="A2725" s="140">
        <v>44559</v>
      </c>
      <c r="B2725">
        <v>57806.49</v>
      </c>
      <c r="C2725">
        <v>566.70000000000005</v>
      </c>
      <c r="D2725">
        <v>-1.57E-3</v>
      </c>
      <c r="E2725">
        <v>7.5300000000000002E-3</v>
      </c>
    </row>
    <row r="2726" spans="1:5" ht="14.25" customHeight="1">
      <c r="A2726" s="140">
        <v>44560</v>
      </c>
      <c r="B2726">
        <v>57794.32</v>
      </c>
      <c r="C2726">
        <v>571.5</v>
      </c>
      <c r="D2726">
        <v>-2.1000000000000001E-4</v>
      </c>
      <c r="E2726">
        <v>8.43E-3</v>
      </c>
    </row>
    <row r="2727" spans="1:5" ht="14.25" customHeight="1">
      <c r="A2727" s="140">
        <v>44561</v>
      </c>
      <c r="B2727">
        <v>58253.82</v>
      </c>
      <c r="C2727">
        <v>580.4</v>
      </c>
      <c r="D2727">
        <v>7.92E-3</v>
      </c>
      <c r="E2727">
        <v>1.545E-2</v>
      </c>
    </row>
    <row r="2728" spans="1:5" ht="14.25" customHeight="1">
      <c r="A2728" s="140">
        <v>44564</v>
      </c>
      <c r="B2728">
        <v>59183.22</v>
      </c>
      <c r="C2728">
        <v>580.79999999999995</v>
      </c>
      <c r="D2728">
        <v>1.583E-2</v>
      </c>
      <c r="E2728">
        <v>6.8999999999999997E-4</v>
      </c>
    </row>
    <row r="2729" spans="1:5" ht="14.25" customHeight="1">
      <c r="A2729" s="140">
        <v>44565</v>
      </c>
      <c r="B2729">
        <v>59855.93</v>
      </c>
      <c r="C2729">
        <v>573.85</v>
      </c>
      <c r="D2729">
        <v>1.1299999999999999E-2</v>
      </c>
      <c r="E2729">
        <v>-1.204E-2</v>
      </c>
    </row>
    <row r="2730" spans="1:5" ht="14.25" customHeight="1">
      <c r="A2730" s="140">
        <v>44566</v>
      </c>
      <c r="B2730">
        <v>60223.15</v>
      </c>
      <c r="C2730">
        <v>582.79999999999995</v>
      </c>
      <c r="D2730">
        <v>6.1199999999999996E-3</v>
      </c>
      <c r="E2730">
        <v>1.5480000000000001E-2</v>
      </c>
    </row>
    <row r="2731" spans="1:5" ht="14.25" customHeight="1">
      <c r="A2731" s="140">
        <v>44567</v>
      </c>
      <c r="B2731">
        <v>59601.84</v>
      </c>
      <c r="C2731">
        <v>582.75</v>
      </c>
      <c r="D2731">
        <v>-1.0370000000000001E-2</v>
      </c>
      <c r="E2731">
        <v>-9.0000000000000006E-5</v>
      </c>
    </row>
    <row r="2732" spans="1:5" ht="14.25" customHeight="1">
      <c r="A2732" s="140">
        <v>44568</v>
      </c>
      <c r="B2732">
        <v>59744.65</v>
      </c>
      <c r="C2732">
        <v>587.29999999999995</v>
      </c>
      <c r="D2732">
        <v>2.3900000000000002E-3</v>
      </c>
      <c r="E2732">
        <v>7.7799999999999996E-3</v>
      </c>
    </row>
    <row r="2733" spans="1:5" ht="14.25" customHeight="1">
      <c r="A2733" s="140">
        <v>44571</v>
      </c>
      <c r="B2733">
        <v>60395.63</v>
      </c>
      <c r="C2733">
        <v>588.95000000000005</v>
      </c>
      <c r="D2733">
        <v>1.0840000000000001E-2</v>
      </c>
      <c r="E2733">
        <v>2.81E-3</v>
      </c>
    </row>
    <row r="2734" spans="1:5" ht="14.25" customHeight="1">
      <c r="A2734" s="140">
        <v>44572</v>
      </c>
      <c r="B2734">
        <v>60616.89</v>
      </c>
      <c r="C2734">
        <v>586.54999999999995</v>
      </c>
      <c r="D2734">
        <v>3.6600000000000001E-3</v>
      </c>
      <c r="E2734">
        <v>-4.0800000000000003E-3</v>
      </c>
    </row>
    <row r="2735" spans="1:5" ht="14.25" customHeight="1">
      <c r="A2735" s="140">
        <v>44573</v>
      </c>
      <c r="B2735">
        <v>61150.04</v>
      </c>
      <c r="C2735">
        <v>582.85</v>
      </c>
      <c r="D2735">
        <v>8.7600000000000004E-3</v>
      </c>
      <c r="E2735">
        <v>-6.3299999999999997E-3</v>
      </c>
    </row>
    <row r="2736" spans="1:5" ht="14.25" customHeight="1">
      <c r="A2736" s="140">
        <v>44574</v>
      </c>
      <c r="B2736">
        <v>61235.3</v>
      </c>
      <c r="C2736">
        <v>580.65</v>
      </c>
      <c r="D2736">
        <v>1.39E-3</v>
      </c>
      <c r="E2736">
        <v>-3.7799999999999999E-3</v>
      </c>
    </row>
    <row r="2737" spans="1:5" ht="14.25" customHeight="1">
      <c r="A2737" s="140">
        <v>44575</v>
      </c>
      <c r="B2737">
        <v>61223.03</v>
      </c>
      <c r="C2737">
        <v>575.45000000000005</v>
      </c>
      <c r="D2737">
        <v>-2.0000000000000001E-4</v>
      </c>
      <c r="E2737">
        <v>-8.9999999999999993E-3</v>
      </c>
    </row>
    <row r="2738" spans="1:5" ht="14.25" customHeight="1">
      <c r="A2738" s="140">
        <v>44578</v>
      </c>
      <c r="B2738">
        <v>61308.91</v>
      </c>
      <c r="C2738">
        <v>569.65</v>
      </c>
      <c r="D2738">
        <v>1.4E-3</v>
      </c>
      <c r="E2738">
        <v>-1.013E-2</v>
      </c>
    </row>
    <row r="2739" spans="1:5" ht="14.25" customHeight="1">
      <c r="A2739" s="140">
        <v>44579</v>
      </c>
      <c r="B2739">
        <v>60754.86</v>
      </c>
      <c r="C2739">
        <v>563.85</v>
      </c>
      <c r="D2739">
        <v>-9.0799999999999995E-3</v>
      </c>
      <c r="E2739">
        <v>-1.023E-2</v>
      </c>
    </row>
    <row r="2740" spans="1:5" ht="14.25" customHeight="1">
      <c r="A2740" s="140">
        <v>44580</v>
      </c>
      <c r="B2740">
        <v>60098.82</v>
      </c>
      <c r="C2740">
        <v>568.6</v>
      </c>
      <c r="D2740">
        <v>-1.086E-2</v>
      </c>
      <c r="E2740">
        <v>8.3899999999999999E-3</v>
      </c>
    </row>
    <row r="2741" spans="1:5" ht="14.25" customHeight="1">
      <c r="A2741" s="140">
        <v>44581</v>
      </c>
      <c r="B2741">
        <v>59464.62</v>
      </c>
      <c r="C2741">
        <v>560.25</v>
      </c>
      <c r="D2741">
        <v>-1.061E-2</v>
      </c>
      <c r="E2741">
        <v>-1.4789999999999999E-2</v>
      </c>
    </row>
    <row r="2742" spans="1:5" ht="14.25" customHeight="1">
      <c r="A2742" s="140">
        <v>44582</v>
      </c>
      <c r="B2742">
        <v>59037.18</v>
      </c>
      <c r="C2742">
        <v>551.65</v>
      </c>
      <c r="D2742">
        <v>-7.2100000000000003E-3</v>
      </c>
      <c r="E2742">
        <v>-1.5469999999999999E-2</v>
      </c>
    </row>
    <row r="2743" spans="1:5" ht="14.25" customHeight="1">
      <c r="A2743" s="140">
        <v>44585</v>
      </c>
      <c r="B2743">
        <v>57491.51</v>
      </c>
      <c r="C2743">
        <v>546.5</v>
      </c>
      <c r="D2743">
        <v>-2.6530000000000001E-2</v>
      </c>
      <c r="E2743">
        <v>-9.3799999999999994E-3</v>
      </c>
    </row>
    <row r="2744" spans="1:5" ht="14.25" customHeight="1">
      <c r="A2744" s="140">
        <v>44586</v>
      </c>
      <c r="B2744">
        <v>57858.15</v>
      </c>
      <c r="C2744">
        <v>543.20000000000005</v>
      </c>
      <c r="D2744">
        <v>6.3600000000000002E-3</v>
      </c>
      <c r="E2744">
        <v>-6.0600000000000003E-3</v>
      </c>
    </row>
    <row r="2745" spans="1:5" ht="14.25" customHeight="1">
      <c r="A2745" s="140">
        <v>44588</v>
      </c>
      <c r="B2745">
        <v>57276.94</v>
      </c>
      <c r="C2745">
        <v>529.5</v>
      </c>
      <c r="D2745">
        <v>-1.01E-2</v>
      </c>
      <c r="E2745">
        <v>-2.554E-2</v>
      </c>
    </row>
    <row r="2746" spans="1:5" ht="14.25" customHeight="1">
      <c r="A2746" s="140">
        <v>44589</v>
      </c>
      <c r="B2746">
        <v>57200.23</v>
      </c>
      <c r="C2746">
        <v>533.9</v>
      </c>
      <c r="D2746">
        <v>-1.34E-3</v>
      </c>
      <c r="E2746">
        <v>8.2799999999999992E-3</v>
      </c>
    </row>
    <row r="2747" spans="1:5" ht="14.25" customHeight="1">
      <c r="A2747" s="140">
        <v>44592</v>
      </c>
      <c r="B2747">
        <v>58014.17</v>
      </c>
      <c r="C2747">
        <v>537.25</v>
      </c>
      <c r="D2747">
        <v>1.413E-2</v>
      </c>
      <c r="E2747">
        <v>6.2500000000000003E-3</v>
      </c>
    </row>
    <row r="2748" spans="1:5" ht="14.25" customHeight="1">
      <c r="A2748" s="140">
        <v>44593</v>
      </c>
      <c r="B2748">
        <v>58862.57</v>
      </c>
      <c r="C2748">
        <v>546.4</v>
      </c>
      <c r="D2748">
        <v>1.452E-2</v>
      </c>
      <c r="E2748">
        <v>1.6889999999999999E-2</v>
      </c>
    </row>
    <row r="2749" spans="1:5" ht="14.25" customHeight="1">
      <c r="A2749" s="140">
        <v>44594</v>
      </c>
      <c r="B2749">
        <v>59558.33</v>
      </c>
      <c r="C2749">
        <v>557.4</v>
      </c>
      <c r="D2749">
        <v>1.175E-2</v>
      </c>
      <c r="E2749">
        <v>1.993E-2</v>
      </c>
    </row>
    <row r="2750" spans="1:5" ht="14.25" customHeight="1">
      <c r="A2750" s="140">
        <v>44595</v>
      </c>
      <c r="B2750">
        <v>58788.02</v>
      </c>
      <c r="C2750">
        <v>556.15</v>
      </c>
      <c r="D2750">
        <v>-1.302E-2</v>
      </c>
      <c r="E2750">
        <v>-2.2499999999999998E-3</v>
      </c>
    </row>
    <row r="2751" spans="1:5" ht="14.25" customHeight="1">
      <c r="A2751" s="140">
        <v>44596</v>
      </c>
      <c r="B2751">
        <v>58644.82</v>
      </c>
      <c r="C2751">
        <v>569.29999999999995</v>
      </c>
      <c r="D2751">
        <v>-2.4399999999999999E-3</v>
      </c>
      <c r="E2751">
        <v>2.3369999999999998E-2</v>
      </c>
    </row>
    <row r="2752" spans="1:5" ht="14.25" customHeight="1">
      <c r="A2752" s="140">
        <v>44599</v>
      </c>
      <c r="B2752">
        <v>57621.19</v>
      </c>
      <c r="C2752">
        <v>566</v>
      </c>
      <c r="D2752">
        <v>-1.7610000000000001E-2</v>
      </c>
      <c r="E2752">
        <v>-5.8100000000000001E-3</v>
      </c>
    </row>
    <row r="2753" spans="1:5" ht="14.25" customHeight="1">
      <c r="A2753" s="140">
        <v>44600</v>
      </c>
      <c r="B2753">
        <v>57808.58</v>
      </c>
      <c r="C2753">
        <v>562.70000000000005</v>
      </c>
      <c r="D2753">
        <v>3.2499999999999999E-3</v>
      </c>
      <c r="E2753">
        <v>-5.8500000000000002E-3</v>
      </c>
    </row>
    <row r="2754" spans="1:5" ht="14.25" customHeight="1">
      <c r="A2754" s="140">
        <v>44601</v>
      </c>
      <c r="B2754">
        <v>58465.97</v>
      </c>
      <c r="C2754">
        <v>570.65</v>
      </c>
      <c r="D2754">
        <v>1.1310000000000001E-2</v>
      </c>
      <c r="E2754">
        <v>1.4030000000000001E-2</v>
      </c>
    </row>
    <row r="2755" spans="1:5" ht="14.25" customHeight="1">
      <c r="A2755" s="140">
        <v>44602</v>
      </c>
      <c r="B2755">
        <v>58926.03</v>
      </c>
      <c r="C2755">
        <v>564.5</v>
      </c>
      <c r="D2755">
        <v>7.8399999999999997E-3</v>
      </c>
      <c r="E2755">
        <v>-1.0840000000000001E-2</v>
      </c>
    </row>
    <row r="2756" spans="1:5" ht="14.25" customHeight="1">
      <c r="A2756" s="140">
        <v>44603</v>
      </c>
      <c r="B2756">
        <v>58152.92</v>
      </c>
      <c r="C2756">
        <v>560.6</v>
      </c>
      <c r="D2756">
        <v>-1.321E-2</v>
      </c>
      <c r="E2756">
        <v>-6.9300000000000004E-3</v>
      </c>
    </row>
    <row r="2757" spans="1:5" ht="14.25" customHeight="1">
      <c r="A2757" s="140">
        <v>44606</v>
      </c>
      <c r="B2757">
        <v>56405.84</v>
      </c>
      <c r="C2757">
        <v>553.5</v>
      </c>
      <c r="D2757">
        <v>-3.0499999999999999E-2</v>
      </c>
      <c r="E2757">
        <v>-1.2749999999999999E-2</v>
      </c>
    </row>
    <row r="2758" spans="1:5" ht="14.25" customHeight="1">
      <c r="A2758" s="140">
        <v>44607</v>
      </c>
      <c r="B2758">
        <v>58142.05</v>
      </c>
      <c r="C2758">
        <v>562.4</v>
      </c>
      <c r="D2758">
        <v>3.032E-2</v>
      </c>
      <c r="E2758">
        <v>1.5949999999999999E-2</v>
      </c>
    </row>
    <row r="2759" spans="1:5" ht="14.25" customHeight="1">
      <c r="A2759" s="140">
        <v>44608</v>
      </c>
      <c r="B2759">
        <v>57996.68</v>
      </c>
      <c r="C2759">
        <v>562.4</v>
      </c>
      <c r="D2759">
        <v>-2.5000000000000001E-3</v>
      </c>
      <c r="E2759">
        <v>0</v>
      </c>
    </row>
    <row r="2760" spans="1:5" ht="14.25" customHeight="1">
      <c r="A2760" s="140">
        <v>44609</v>
      </c>
      <c r="B2760">
        <v>57892.01</v>
      </c>
      <c r="C2760">
        <v>554.4</v>
      </c>
      <c r="D2760">
        <v>-1.81E-3</v>
      </c>
      <c r="E2760">
        <v>-1.4330000000000001E-2</v>
      </c>
    </row>
    <row r="2761" spans="1:5" ht="14.25" customHeight="1">
      <c r="A2761" s="140">
        <v>44610</v>
      </c>
      <c r="B2761">
        <v>57832.97</v>
      </c>
      <c r="C2761">
        <v>548.29999999999995</v>
      </c>
      <c r="D2761">
        <v>-1.0200000000000001E-3</v>
      </c>
      <c r="E2761">
        <v>-1.106E-2</v>
      </c>
    </row>
    <row r="2762" spans="1:5" ht="14.25" customHeight="1">
      <c r="A2762" s="140">
        <v>44613</v>
      </c>
      <c r="B2762">
        <v>57683.59</v>
      </c>
      <c r="C2762">
        <v>553.45000000000005</v>
      </c>
      <c r="D2762">
        <v>-2.5899999999999999E-3</v>
      </c>
      <c r="E2762">
        <v>9.3500000000000007E-3</v>
      </c>
    </row>
    <row r="2763" spans="1:5" ht="14.25" customHeight="1">
      <c r="A2763" s="140">
        <v>44614</v>
      </c>
      <c r="B2763">
        <v>57300.68</v>
      </c>
      <c r="C2763">
        <v>549.5</v>
      </c>
      <c r="D2763">
        <v>-6.6600000000000001E-3</v>
      </c>
      <c r="E2763">
        <v>-7.1599999999999997E-3</v>
      </c>
    </row>
    <row r="2764" spans="1:5" ht="14.25" customHeight="1">
      <c r="A2764" s="140">
        <v>44615</v>
      </c>
      <c r="B2764">
        <v>57232.06</v>
      </c>
      <c r="C2764">
        <v>544.29999999999995</v>
      </c>
      <c r="D2764">
        <v>-1.1999999999999999E-3</v>
      </c>
      <c r="E2764">
        <v>-9.5099999999999994E-3</v>
      </c>
    </row>
    <row r="2765" spans="1:5" ht="14.25" customHeight="1">
      <c r="A2765" s="140">
        <v>44616</v>
      </c>
      <c r="B2765">
        <v>54529.91</v>
      </c>
      <c r="C2765">
        <v>533.79999999999995</v>
      </c>
      <c r="D2765">
        <v>-4.836E-2</v>
      </c>
      <c r="E2765">
        <v>-1.9480000000000001E-2</v>
      </c>
    </row>
    <row r="2766" spans="1:5" ht="14.25" customHeight="1">
      <c r="A2766" s="140">
        <v>44617</v>
      </c>
      <c r="B2766">
        <v>55858.52</v>
      </c>
      <c r="C2766">
        <v>544.9</v>
      </c>
      <c r="D2766">
        <v>2.4070000000000001E-2</v>
      </c>
      <c r="E2766">
        <v>2.0580000000000001E-2</v>
      </c>
    </row>
    <row r="2767" spans="1:5" ht="14.25" customHeight="1">
      <c r="A2767" s="140">
        <v>44620</v>
      </c>
      <c r="B2767">
        <v>56247.28</v>
      </c>
      <c r="C2767">
        <v>563.75</v>
      </c>
      <c r="D2767">
        <v>6.94E-3</v>
      </c>
      <c r="E2767">
        <v>3.4009999999999999E-2</v>
      </c>
    </row>
    <row r="2768" spans="1:5" ht="14.25" customHeight="1">
      <c r="A2768" s="140">
        <v>44622</v>
      </c>
      <c r="B2768">
        <v>55468.9</v>
      </c>
      <c r="C2768">
        <v>564.85</v>
      </c>
      <c r="D2768">
        <v>-1.3939999999999999E-2</v>
      </c>
      <c r="E2768">
        <v>1.9499999999999999E-3</v>
      </c>
    </row>
    <row r="2769" spans="1:5" ht="14.25" customHeight="1">
      <c r="A2769" s="140">
        <v>44623</v>
      </c>
      <c r="B2769">
        <v>55102.68</v>
      </c>
      <c r="C2769">
        <v>562.04999999999995</v>
      </c>
      <c r="D2769">
        <v>-6.62E-3</v>
      </c>
      <c r="E2769">
        <v>-4.9699999999999996E-3</v>
      </c>
    </row>
    <row r="2770" spans="1:5" ht="14.25" customHeight="1">
      <c r="A2770" s="140">
        <v>44624</v>
      </c>
      <c r="B2770">
        <v>54333.81</v>
      </c>
      <c r="C2770">
        <v>539.45000000000005</v>
      </c>
      <c r="D2770">
        <v>-1.405E-2</v>
      </c>
      <c r="E2770">
        <v>-4.104E-2</v>
      </c>
    </row>
    <row r="2771" spans="1:5" ht="14.25" customHeight="1">
      <c r="A2771" s="140">
        <v>44627</v>
      </c>
      <c r="B2771">
        <v>52842.75</v>
      </c>
      <c r="C2771">
        <v>506</v>
      </c>
      <c r="D2771">
        <v>-2.7830000000000001E-2</v>
      </c>
      <c r="E2771">
        <v>-6.4009999999999997E-2</v>
      </c>
    </row>
    <row r="2772" spans="1:5" ht="14.25" customHeight="1">
      <c r="A2772" s="140">
        <v>44628</v>
      </c>
      <c r="B2772">
        <v>53424.09</v>
      </c>
      <c r="C2772">
        <v>521.70000000000005</v>
      </c>
      <c r="D2772">
        <v>1.094E-2</v>
      </c>
      <c r="E2772">
        <v>3.056E-2</v>
      </c>
    </row>
    <row r="2773" spans="1:5" ht="14.25" customHeight="1">
      <c r="A2773" s="140">
        <v>44629</v>
      </c>
      <c r="B2773">
        <v>54647.33</v>
      </c>
      <c r="C2773">
        <v>528.54999999999995</v>
      </c>
      <c r="D2773">
        <v>2.264E-2</v>
      </c>
      <c r="E2773">
        <v>1.304E-2</v>
      </c>
    </row>
    <row r="2774" spans="1:5" ht="14.25" customHeight="1">
      <c r="A2774" s="140">
        <v>44630</v>
      </c>
      <c r="B2774">
        <v>55464.39</v>
      </c>
      <c r="C2774">
        <v>546.15</v>
      </c>
      <c r="D2774">
        <v>1.4840000000000001E-2</v>
      </c>
      <c r="E2774">
        <v>3.2759999999999997E-2</v>
      </c>
    </row>
    <row r="2775" spans="1:5" ht="14.25" customHeight="1">
      <c r="A2775" s="140">
        <v>44631</v>
      </c>
      <c r="B2775">
        <v>55550.3</v>
      </c>
      <c r="C2775">
        <v>547.4</v>
      </c>
      <c r="D2775">
        <v>1.5499999999999999E-3</v>
      </c>
      <c r="E2775">
        <v>2.2899999999999999E-3</v>
      </c>
    </row>
    <row r="2776" spans="1:5" ht="14.25" customHeight="1">
      <c r="A2776" s="140">
        <v>44634</v>
      </c>
      <c r="B2776">
        <v>56486.02</v>
      </c>
      <c r="C2776">
        <v>539.95000000000005</v>
      </c>
      <c r="D2776">
        <v>1.67E-2</v>
      </c>
      <c r="E2776">
        <v>-1.37E-2</v>
      </c>
    </row>
    <row r="2777" spans="1:5" ht="14.25" customHeight="1">
      <c r="A2777" s="140">
        <v>44635</v>
      </c>
      <c r="B2777">
        <v>55776.85</v>
      </c>
      <c r="C2777">
        <v>556.25</v>
      </c>
      <c r="D2777">
        <v>-1.2630000000000001E-2</v>
      </c>
      <c r="E2777">
        <v>2.9739999999999999E-2</v>
      </c>
    </row>
    <row r="2778" spans="1:5" ht="14.25" customHeight="1">
      <c r="A2778" s="140">
        <v>44636</v>
      </c>
      <c r="B2778">
        <v>56816.65</v>
      </c>
      <c r="C2778">
        <v>564</v>
      </c>
      <c r="D2778">
        <v>1.847E-2</v>
      </c>
      <c r="E2778">
        <v>1.384E-2</v>
      </c>
    </row>
    <row r="2779" spans="1:5" ht="14.25" customHeight="1">
      <c r="A2779" s="140">
        <v>44637</v>
      </c>
      <c r="B2779">
        <v>57863.93</v>
      </c>
      <c r="C2779">
        <v>560.25</v>
      </c>
      <c r="D2779">
        <v>1.8259999999999998E-2</v>
      </c>
      <c r="E2779">
        <v>-6.6699999999999997E-3</v>
      </c>
    </row>
    <row r="2780" spans="1:5" ht="14.25" customHeight="1">
      <c r="A2780" s="140">
        <v>44641</v>
      </c>
      <c r="B2780">
        <v>57292.49</v>
      </c>
      <c r="C2780">
        <v>549.54999999999995</v>
      </c>
      <c r="D2780">
        <v>-9.92E-3</v>
      </c>
      <c r="E2780">
        <v>-1.9279999999999999E-2</v>
      </c>
    </row>
    <row r="2781" spans="1:5" ht="14.25" customHeight="1">
      <c r="A2781" s="140">
        <v>44642</v>
      </c>
      <c r="B2781">
        <v>57989.3</v>
      </c>
      <c r="C2781">
        <v>534.15</v>
      </c>
      <c r="D2781">
        <v>1.209E-2</v>
      </c>
      <c r="E2781">
        <v>-2.8420000000000001E-2</v>
      </c>
    </row>
    <row r="2782" spans="1:5" ht="14.25" customHeight="1">
      <c r="A2782" s="140">
        <v>44643</v>
      </c>
      <c r="B2782">
        <v>57684.82</v>
      </c>
      <c r="C2782">
        <v>523.1</v>
      </c>
      <c r="D2782">
        <v>-5.2599999999999999E-3</v>
      </c>
      <c r="E2782">
        <v>-2.0899999999999998E-2</v>
      </c>
    </row>
    <row r="2783" spans="1:5" ht="14.25" customHeight="1">
      <c r="A2783" s="140">
        <v>44644</v>
      </c>
      <c r="B2783">
        <v>57595.68</v>
      </c>
      <c r="C2783">
        <v>523.79999999999995</v>
      </c>
      <c r="D2783">
        <v>-1.5499999999999999E-3</v>
      </c>
      <c r="E2783">
        <v>1.34E-3</v>
      </c>
    </row>
    <row r="2784" spans="1:5" ht="14.25" customHeight="1">
      <c r="A2784" s="140">
        <v>44645</v>
      </c>
      <c r="B2784">
        <v>57362.2</v>
      </c>
      <c r="C2784">
        <v>519.85</v>
      </c>
      <c r="D2784">
        <v>-4.0600000000000002E-3</v>
      </c>
      <c r="E2784">
        <v>-7.5700000000000003E-3</v>
      </c>
    </row>
    <row r="2785" spans="1:5" ht="14.25" customHeight="1">
      <c r="A2785" s="140">
        <v>44648</v>
      </c>
      <c r="B2785">
        <v>57593.49</v>
      </c>
      <c r="C2785">
        <v>515.1</v>
      </c>
      <c r="D2785">
        <v>4.0200000000000001E-3</v>
      </c>
      <c r="E2785">
        <v>-9.1800000000000007E-3</v>
      </c>
    </row>
    <row r="2786" spans="1:5" ht="14.25" customHeight="1">
      <c r="A2786" s="140">
        <v>44649</v>
      </c>
      <c r="B2786">
        <v>57943.65</v>
      </c>
      <c r="C2786">
        <v>515.65</v>
      </c>
      <c r="D2786">
        <v>6.0600000000000003E-3</v>
      </c>
      <c r="E2786">
        <v>1.07E-3</v>
      </c>
    </row>
    <row r="2787" spans="1:5" ht="14.25" customHeight="1">
      <c r="A2787" s="140">
        <v>44650</v>
      </c>
      <c r="B2787">
        <v>58683.99</v>
      </c>
      <c r="C2787">
        <v>527.70000000000005</v>
      </c>
      <c r="D2787">
        <v>1.2699999999999999E-2</v>
      </c>
      <c r="E2787">
        <v>2.3099999999999999E-2</v>
      </c>
    </row>
    <row r="2788" spans="1:5" ht="14.25" customHeight="1">
      <c r="A2788" s="140">
        <v>44651</v>
      </c>
      <c r="B2788">
        <v>58568.51</v>
      </c>
      <c r="C2788">
        <v>536.54999999999995</v>
      </c>
      <c r="D2788">
        <v>-1.97E-3</v>
      </c>
      <c r="E2788">
        <v>1.6629999999999999E-2</v>
      </c>
    </row>
    <row r="2789" spans="1:5" ht="14.25" customHeight="1">
      <c r="A2789" s="140">
        <v>44652</v>
      </c>
      <c r="B2789">
        <v>59276.69</v>
      </c>
      <c r="C2789">
        <v>543.20000000000005</v>
      </c>
      <c r="D2789">
        <v>1.2019999999999999E-2</v>
      </c>
      <c r="E2789">
        <v>1.2319999999999999E-2</v>
      </c>
    </row>
    <row r="2790" spans="1:5" ht="14.25" customHeight="1">
      <c r="A2790" s="140">
        <v>44655</v>
      </c>
      <c r="B2790">
        <v>60611.74</v>
      </c>
      <c r="C2790">
        <v>544.25</v>
      </c>
      <c r="D2790">
        <v>2.2270000000000002E-2</v>
      </c>
      <c r="E2790">
        <v>1.9300000000000001E-3</v>
      </c>
    </row>
    <row r="2791" spans="1:5" ht="14.25" customHeight="1">
      <c r="A2791" s="140">
        <v>44656</v>
      </c>
      <c r="B2791">
        <v>60176.5</v>
      </c>
      <c r="C2791">
        <v>548.70000000000005</v>
      </c>
      <c r="D2791">
        <v>-7.2100000000000003E-3</v>
      </c>
      <c r="E2791">
        <v>8.1399999999999997E-3</v>
      </c>
    </row>
    <row r="2792" spans="1:5" ht="14.25" customHeight="1">
      <c r="A2792" s="140">
        <v>44657</v>
      </c>
      <c r="B2792">
        <v>59610.41</v>
      </c>
      <c r="C2792">
        <v>541.45000000000005</v>
      </c>
      <c r="D2792">
        <v>-9.4500000000000001E-3</v>
      </c>
      <c r="E2792">
        <v>-1.3299999999999999E-2</v>
      </c>
    </row>
    <row r="2793" spans="1:5" ht="14.25" customHeight="1">
      <c r="A2793" s="140">
        <v>44658</v>
      </c>
      <c r="B2793">
        <v>59034.95</v>
      </c>
      <c r="C2793">
        <v>551.1</v>
      </c>
      <c r="D2793">
        <v>-9.7000000000000003E-3</v>
      </c>
      <c r="E2793">
        <v>1.7670000000000002E-2</v>
      </c>
    </row>
    <row r="2794" spans="1:5" ht="14.25" customHeight="1">
      <c r="A2794" s="140">
        <v>44659</v>
      </c>
      <c r="B2794">
        <v>59447.18</v>
      </c>
      <c r="C2794">
        <v>557.70000000000005</v>
      </c>
      <c r="D2794">
        <v>6.96E-3</v>
      </c>
      <c r="E2794">
        <v>1.1900000000000001E-2</v>
      </c>
    </row>
    <row r="2795" spans="1:5" ht="14.25" customHeight="1">
      <c r="A2795" s="140">
        <v>44662</v>
      </c>
      <c r="B2795">
        <v>58964.57</v>
      </c>
      <c r="C2795">
        <v>552.95000000000005</v>
      </c>
      <c r="D2795">
        <v>-8.1499999999999993E-3</v>
      </c>
      <c r="E2795">
        <v>-8.5500000000000003E-3</v>
      </c>
    </row>
    <row r="2796" spans="1:5" ht="14.25" customHeight="1">
      <c r="A2796" s="140">
        <v>44663</v>
      </c>
      <c r="B2796">
        <v>58576.37</v>
      </c>
      <c r="C2796">
        <v>553.70000000000005</v>
      </c>
      <c r="D2796">
        <v>-6.6100000000000004E-3</v>
      </c>
      <c r="E2796">
        <v>1.3600000000000001E-3</v>
      </c>
    </row>
    <row r="2797" spans="1:5" ht="14.25" customHeight="1">
      <c r="A2797" s="140">
        <v>44664</v>
      </c>
      <c r="B2797">
        <v>58338.93</v>
      </c>
      <c r="C2797">
        <v>555.70000000000005</v>
      </c>
      <c r="D2797">
        <v>-4.0600000000000002E-3</v>
      </c>
      <c r="E2797">
        <v>3.6099999999999999E-3</v>
      </c>
    </row>
    <row r="2798" spans="1:5" ht="14.25" customHeight="1">
      <c r="A2798" s="140">
        <v>44669</v>
      </c>
      <c r="B2798">
        <v>57166.74</v>
      </c>
      <c r="C2798">
        <v>562.6</v>
      </c>
      <c r="D2798">
        <v>-2.0299999999999999E-2</v>
      </c>
      <c r="E2798">
        <v>1.234E-2</v>
      </c>
    </row>
    <row r="2799" spans="1:5" ht="14.25" customHeight="1">
      <c r="A2799" s="140">
        <v>44670</v>
      </c>
      <c r="B2799">
        <v>56463.15</v>
      </c>
      <c r="C2799">
        <v>549.45000000000005</v>
      </c>
      <c r="D2799">
        <v>-1.238E-2</v>
      </c>
      <c r="E2799">
        <v>-2.3650000000000001E-2</v>
      </c>
    </row>
    <row r="2800" spans="1:5" ht="14.25" customHeight="1">
      <c r="A2800" s="140">
        <v>44671</v>
      </c>
      <c r="B2800">
        <v>57037.5</v>
      </c>
      <c r="C2800">
        <v>550.25</v>
      </c>
      <c r="D2800">
        <v>1.0120000000000001E-2</v>
      </c>
      <c r="E2800">
        <v>1.4499999999999999E-3</v>
      </c>
    </row>
    <row r="2801" spans="1:5" ht="14.25" customHeight="1">
      <c r="A2801" s="140">
        <v>44672</v>
      </c>
      <c r="B2801">
        <v>57911.68</v>
      </c>
      <c r="C2801">
        <v>562.04999999999995</v>
      </c>
      <c r="D2801">
        <v>1.521E-2</v>
      </c>
      <c r="E2801">
        <v>2.1219999999999999E-2</v>
      </c>
    </row>
    <row r="2802" spans="1:5" ht="14.25" customHeight="1">
      <c r="A2802" s="140">
        <v>44673</v>
      </c>
      <c r="B2802">
        <v>57197.15</v>
      </c>
      <c r="C2802">
        <v>559.6</v>
      </c>
      <c r="D2802">
        <v>-1.242E-2</v>
      </c>
      <c r="E2802">
        <v>-4.3699999999999998E-3</v>
      </c>
    </row>
    <row r="2803" spans="1:5" ht="14.25" customHeight="1">
      <c r="A2803" s="140">
        <v>44676</v>
      </c>
      <c r="B2803">
        <v>56579.89</v>
      </c>
      <c r="C2803">
        <v>551.4</v>
      </c>
      <c r="D2803">
        <v>-1.085E-2</v>
      </c>
      <c r="E2803">
        <v>-1.4760000000000001E-2</v>
      </c>
    </row>
    <row r="2804" spans="1:5" ht="14.25" customHeight="1">
      <c r="A2804" s="140">
        <v>44677</v>
      </c>
      <c r="B2804">
        <v>57356.61</v>
      </c>
      <c r="C2804">
        <v>559.5</v>
      </c>
      <c r="D2804">
        <v>1.363E-2</v>
      </c>
      <c r="E2804">
        <v>1.4579999999999999E-2</v>
      </c>
    </row>
    <row r="2805" spans="1:5" ht="14.25" customHeight="1">
      <c r="A2805" s="140">
        <v>44678</v>
      </c>
      <c r="B2805">
        <v>56819.39</v>
      </c>
      <c r="C2805">
        <v>559.54999999999995</v>
      </c>
      <c r="D2805">
        <v>-9.41E-3</v>
      </c>
      <c r="E2805">
        <v>9.0000000000000006E-5</v>
      </c>
    </row>
    <row r="2806" spans="1:5" ht="14.25" customHeight="1">
      <c r="A2806" s="140">
        <v>44679</v>
      </c>
      <c r="B2806">
        <v>57521.06</v>
      </c>
      <c r="C2806">
        <v>571.85</v>
      </c>
      <c r="D2806">
        <v>1.227E-2</v>
      </c>
      <c r="E2806">
        <v>2.1739999999999999E-2</v>
      </c>
    </row>
    <row r="2807" spans="1:5" ht="14.25" customHeight="1">
      <c r="A2807" s="140">
        <v>44680</v>
      </c>
      <c r="B2807">
        <v>57060.87</v>
      </c>
      <c r="C2807">
        <v>556.85</v>
      </c>
      <c r="D2807">
        <v>-8.0300000000000007E-3</v>
      </c>
      <c r="E2807">
        <v>-2.6579999999999999E-2</v>
      </c>
    </row>
    <row r="2808" spans="1:5" ht="14.25" customHeight="1">
      <c r="A2808" s="140">
        <v>44683</v>
      </c>
      <c r="B2808">
        <v>56975.99</v>
      </c>
      <c r="C2808">
        <v>557.1</v>
      </c>
      <c r="D2808">
        <v>-1.49E-3</v>
      </c>
      <c r="E2808">
        <v>4.4999999999999999E-4</v>
      </c>
    </row>
    <row r="2809" spans="1:5" ht="14.25" customHeight="1">
      <c r="A2809" s="140">
        <v>44685</v>
      </c>
      <c r="B2809">
        <v>55669.03</v>
      </c>
      <c r="C2809">
        <v>537.54999999999995</v>
      </c>
      <c r="D2809">
        <v>-2.3210000000000001E-2</v>
      </c>
      <c r="E2809">
        <v>-3.5720000000000002E-2</v>
      </c>
    </row>
    <row r="2810" spans="1:5" ht="14.25" customHeight="1">
      <c r="A2810" s="140">
        <v>44686</v>
      </c>
      <c r="B2810">
        <v>55702.23</v>
      </c>
      <c r="C2810">
        <v>529.20000000000005</v>
      </c>
      <c r="D2810">
        <v>5.9999999999999995E-4</v>
      </c>
      <c r="E2810">
        <v>-1.566E-2</v>
      </c>
    </row>
    <row r="2811" spans="1:5" ht="14.25" customHeight="1">
      <c r="A2811" s="140">
        <v>44687</v>
      </c>
      <c r="B2811">
        <v>54835.58</v>
      </c>
      <c r="C2811">
        <v>510.8</v>
      </c>
      <c r="D2811">
        <v>-1.5679999999999999E-2</v>
      </c>
      <c r="E2811">
        <v>-3.5389999999999998E-2</v>
      </c>
    </row>
    <row r="2812" spans="1:5" ht="14.25" customHeight="1">
      <c r="A2812" s="140">
        <v>44690</v>
      </c>
      <c r="B2812">
        <v>54470.67</v>
      </c>
      <c r="C2812">
        <v>504.45</v>
      </c>
      <c r="D2812">
        <v>-6.6800000000000002E-3</v>
      </c>
      <c r="E2812">
        <v>-1.251E-2</v>
      </c>
    </row>
    <row r="2813" spans="1:5" ht="14.25" customHeight="1">
      <c r="A2813" s="140">
        <v>44691</v>
      </c>
      <c r="B2813">
        <v>54364.85</v>
      </c>
      <c r="C2813">
        <v>502.55</v>
      </c>
      <c r="D2813">
        <v>-1.9400000000000001E-3</v>
      </c>
      <c r="E2813">
        <v>-3.7699999999999999E-3</v>
      </c>
    </row>
    <row r="2814" spans="1:5" ht="14.25" customHeight="1">
      <c r="A2814" s="140">
        <v>44692</v>
      </c>
      <c r="B2814">
        <v>54088.39</v>
      </c>
      <c r="C2814">
        <v>507</v>
      </c>
      <c r="D2814">
        <v>-5.1000000000000004E-3</v>
      </c>
      <c r="E2814">
        <v>8.8199999999999997E-3</v>
      </c>
    </row>
    <row r="2815" spans="1:5" ht="14.25" customHeight="1">
      <c r="A2815" s="140">
        <v>44693</v>
      </c>
      <c r="B2815">
        <v>52930.31</v>
      </c>
      <c r="C2815">
        <v>498.25</v>
      </c>
      <c r="D2815">
        <v>-2.164E-2</v>
      </c>
      <c r="E2815">
        <v>-1.7409999999999998E-2</v>
      </c>
    </row>
    <row r="2816" spans="1:5" ht="14.25" customHeight="1">
      <c r="A2816" s="140">
        <v>44694</v>
      </c>
      <c r="B2816">
        <v>52793.62</v>
      </c>
      <c r="C2816">
        <v>500.65</v>
      </c>
      <c r="D2816">
        <v>-2.5899999999999999E-3</v>
      </c>
      <c r="E2816">
        <v>4.81E-3</v>
      </c>
    </row>
    <row r="2817" spans="1:5" ht="14.25" customHeight="1">
      <c r="A2817" s="140">
        <v>44697</v>
      </c>
      <c r="B2817">
        <v>52973.84</v>
      </c>
      <c r="C2817">
        <v>496.9</v>
      </c>
      <c r="D2817">
        <v>3.4099999999999998E-3</v>
      </c>
      <c r="E2817">
        <v>-7.5199999999999998E-3</v>
      </c>
    </row>
    <row r="2818" spans="1:5" ht="14.25" customHeight="1">
      <c r="A2818" s="140">
        <v>44698</v>
      </c>
      <c r="B2818">
        <v>54318.47</v>
      </c>
      <c r="C2818">
        <v>502</v>
      </c>
      <c r="D2818">
        <v>2.5069999999999999E-2</v>
      </c>
      <c r="E2818">
        <v>1.021E-2</v>
      </c>
    </row>
    <row r="2819" spans="1:5" ht="14.25" customHeight="1">
      <c r="A2819" s="140">
        <v>44699</v>
      </c>
      <c r="B2819">
        <v>54208.53</v>
      </c>
      <c r="C2819">
        <v>509.65</v>
      </c>
      <c r="D2819">
        <v>-2.0300000000000001E-3</v>
      </c>
      <c r="E2819">
        <v>1.512E-2</v>
      </c>
    </row>
    <row r="2820" spans="1:5" ht="14.25" customHeight="1">
      <c r="A2820" s="140">
        <v>44700</v>
      </c>
      <c r="B2820">
        <v>52792.23</v>
      </c>
      <c r="C2820">
        <v>492.2</v>
      </c>
      <c r="D2820">
        <v>-2.647E-2</v>
      </c>
      <c r="E2820">
        <v>-3.4840000000000003E-2</v>
      </c>
    </row>
    <row r="2821" spans="1:5" ht="14.25" customHeight="1">
      <c r="A2821" s="140">
        <v>44701</v>
      </c>
      <c r="B2821">
        <v>54326.39</v>
      </c>
      <c r="C2821">
        <v>503.55</v>
      </c>
      <c r="D2821">
        <v>2.8649999999999998E-2</v>
      </c>
      <c r="E2821">
        <v>2.2800000000000001E-2</v>
      </c>
    </row>
    <row r="2822" spans="1:5" ht="14.25" customHeight="1">
      <c r="A2822" s="140">
        <v>44704</v>
      </c>
      <c r="B2822">
        <v>54288.61</v>
      </c>
      <c r="C2822">
        <v>506.3</v>
      </c>
      <c r="D2822">
        <v>-6.9999999999999999E-4</v>
      </c>
      <c r="E2822">
        <v>5.45E-3</v>
      </c>
    </row>
    <row r="2823" spans="1:5" ht="14.25" customHeight="1">
      <c r="A2823" s="140">
        <v>44705</v>
      </c>
      <c r="B2823">
        <v>54052.61</v>
      </c>
      <c r="C2823">
        <v>502.1</v>
      </c>
      <c r="D2823">
        <v>-4.3600000000000002E-3</v>
      </c>
      <c r="E2823">
        <v>-8.3300000000000006E-3</v>
      </c>
    </row>
    <row r="2824" spans="1:5" ht="14.25" customHeight="1">
      <c r="A2824" s="140">
        <v>44706</v>
      </c>
      <c r="B2824">
        <v>53749.26</v>
      </c>
      <c r="C2824">
        <v>494.65</v>
      </c>
      <c r="D2824">
        <v>-5.6299999999999996E-3</v>
      </c>
      <c r="E2824">
        <v>-1.495E-2</v>
      </c>
    </row>
    <row r="2825" spans="1:5" ht="14.25" customHeight="1">
      <c r="A2825" s="140">
        <v>44707</v>
      </c>
      <c r="B2825">
        <v>54252.53</v>
      </c>
      <c r="C2825">
        <v>498.1</v>
      </c>
      <c r="D2825">
        <v>9.3200000000000002E-3</v>
      </c>
      <c r="E2825">
        <v>6.9499999999999996E-3</v>
      </c>
    </row>
    <row r="2826" spans="1:5" ht="14.25" customHeight="1">
      <c r="A2826" s="140">
        <v>44708</v>
      </c>
      <c r="B2826">
        <v>54884.66</v>
      </c>
      <c r="C2826">
        <v>497.9</v>
      </c>
      <c r="D2826">
        <v>1.158E-2</v>
      </c>
      <c r="E2826">
        <v>-4.0000000000000002E-4</v>
      </c>
    </row>
    <row r="2827" spans="1:5" ht="14.25" customHeight="1">
      <c r="A2827" s="140">
        <v>44711</v>
      </c>
      <c r="B2827">
        <v>55925.74</v>
      </c>
      <c r="C2827">
        <v>509.9</v>
      </c>
      <c r="D2827">
        <v>1.8790000000000001E-2</v>
      </c>
      <c r="E2827">
        <v>2.3820000000000001E-2</v>
      </c>
    </row>
    <row r="2828" spans="1:5" ht="14.25" customHeight="1">
      <c r="A2828" s="140">
        <v>44712</v>
      </c>
      <c r="B2828">
        <v>55566.41</v>
      </c>
      <c r="C2828">
        <v>518.75</v>
      </c>
      <c r="D2828">
        <v>-6.45E-3</v>
      </c>
      <c r="E2828">
        <v>1.721E-2</v>
      </c>
    </row>
    <row r="2829" spans="1:5" ht="14.25" customHeight="1">
      <c r="A2829" s="140">
        <v>44713</v>
      </c>
      <c r="B2829">
        <v>55381.17</v>
      </c>
      <c r="C2829">
        <v>516.95000000000005</v>
      </c>
      <c r="D2829">
        <v>-3.3400000000000001E-3</v>
      </c>
      <c r="E2829">
        <v>-3.48E-3</v>
      </c>
    </row>
    <row r="2830" spans="1:5" ht="14.25" customHeight="1">
      <c r="A2830" s="140">
        <v>44714</v>
      </c>
      <c r="B2830">
        <v>55818.11</v>
      </c>
      <c r="C2830">
        <v>521.4</v>
      </c>
      <c r="D2830">
        <v>7.8600000000000007E-3</v>
      </c>
      <c r="E2830">
        <v>8.5699999999999995E-3</v>
      </c>
    </row>
    <row r="2831" spans="1:5" ht="14.25" customHeight="1">
      <c r="A2831" s="140">
        <v>44715</v>
      </c>
      <c r="B2831">
        <v>55769.23</v>
      </c>
      <c r="C2831">
        <v>513.70000000000005</v>
      </c>
      <c r="D2831">
        <v>-8.8000000000000003E-4</v>
      </c>
      <c r="E2831">
        <v>-1.4880000000000001E-2</v>
      </c>
    </row>
    <row r="2832" spans="1:5" ht="14.25" customHeight="1">
      <c r="A2832" s="140">
        <v>44718</v>
      </c>
      <c r="B2832">
        <v>55675.32</v>
      </c>
      <c r="C2832">
        <v>508.7</v>
      </c>
      <c r="D2832">
        <v>-1.6900000000000001E-3</v>
      </c>
      <c r="E2832">
        <v>-9.7800000000000005E-3</v>
      </c>
    </row>
    <row r="2833" spans="1:5" ht="14.25" customHeight="1">
      <c r="A2833" s="140">
        <v>44719</v>
      </c>
      <c r="B2833">
        <v>55107.34</v>
      </c>
      <c r="C2833">
        <v>501.3</v>
      </c>
      <c r="D2833">
        <v>-1.025E-2</v>
      </c>
      <c r="E2833">
        <v>-1.465E-2</v>
      </c>
    </row>
    <row r="2834" spans="1:5" ht="14.25" customHeight="1">
      <c r="A2834" s="140">
        <v>44720</v>
      </c>
      <c r="B2834">
        <v>54892.49</v>
      </c>
      <c r="C2834">
        <v>495.1</v>
      </c>
      <c r="D2834">
        <v>-3.9100000000000003E-3</v>
      </c>
      <c r="E2834">
        <v>-1.244E-2</v>
      </c>
    </row>
    <row r="2835" spans="1:5" ht="14.25" customHeight="1">
      <c r="A2835" s="140">
        <v>44721</v>
      </c>
      <c r="B2835">
        <v>55320.28</v>
      </c>
      <c r="C2835">
        <v>497.75</v>
      </c>
      <c r="D2835">
        <v>7.7600000000000004E-3</v>
      </c>
      <c r="E2835">
        <v>5.3400000000000001E-3</v>
      </c>
    </row>
    <row r="2836" spans="1:5" ht="14.25" customHeight="1">
      <c r="A2836" s="140">
        <v>44722</v>
      </c>
      <c r="B2836">
        <v>54303.44</v>
      </c>
      <c r="C2836">
        <v>502.2</v>
      </c>
      <c r="D2836">
        <v>-1.8550000000000001E-2</v>
      </c>
      <c r="E2836">
        <v>8.8999999999999999E-3</v>
      </c>
    </row>
    <row r="2837" spans="1:5" ht="14.25" customHeight="1">
      <c r="A2837" s="140">
        <v>44725</v>
      </c>
      <c r="B2837">
        <v>52846.7</v>
      </c>
      <c r="C2837">
        <v>497.6</v>
      </c>
      <c r="D2837">
        <v>-2.7189999999999999E-2</v>
      </c>
      <c r="E2837">
        <v>-9.1999999999999998E-3</v>
      </c>
    </row>
    <row r="2838" spans="1:5" ht="14.25" customHeight="1">
      <c r="A2838" s="140">
        <v>44726</v>
      </c>
      <c r="B2838">
        <v>52693.57</v>
      </c>
      <c r="C2838">
        <v>495.95</v>
      </c>
      <c r="D2838">
        <v>-2.8999999999999998E-3</v>
      </c>
      <c r="E2838">
        <v>-3.32E-3</v>
      </c>
    </row>
    <row r="2839" spans="1:5" ht="14.25" customHeight="1">
      <c r="A2839" s="140">
        <v>44727</v>
      </c>
      <c r="B2839">
        <v>52541.39</v>
      </c>
      <c r="C2839">
        <v>496.1</v>
      </c>
      <c r="D2839">
        <v>-2.8900000000000002E-3</v>
      </c>
      <c r="E2839">
        <v>2.9999999999999997E-4</v>
      </c>
    </row>
    <row r="2840" spans="1:5" ht="14.25" customHeight="1">
      <c r="A2840" s="140">
        <v>44728</v>
      </c>
      <c r="B2840">
        <v>51495.79</v>
      </c>
      <c r="C2840">
        <v>496.8</v>
      </c>
      <c r="D2840">
        <v>-2.01E-2</v>
      </c>
      <c r="E2840">
        <v>1.41E-3</v>
      </c>
    </row>
    <row r="2841" spans="1:5" ht="14.25" customHeight="1">
      <c r="A2841" s="140">
        <v>44729</v>
      </c>
      <c r="B2841">
        <v>51360.42</v>
      </c>
      <c r="C2841">
        <v>485.1</v>
      </c>
      <c r="D2841">
        <v>-2.63E-3</v>
      </c>
      <c r="E2841">
        <v>-2.383E-2</v>
      </c>
    </row>
    <row r="2842" spans="1:5" ht="14.25" customHeight="1">
      <c r="A2842" s="140">
        <v>44732</v>
      </c>
      <c r="B2842">
        <v>51597.84</v>
      </c>
      <c r="C2842">
        <v>500.3</v>
      </c>
      <c r="D2842">
        <v>4.6100000000000004E-3</v>
      </c>
      <c r="E2842">
        <v>3.0849999999999999E-2</v>
      </c>
    </row>
    <row r="2843" spans="1:5" ht="14.25" customHeight="1">
      <c r="A2843" s="140">
        <v>44733</v>
      </c>
      <c r="B2843">
        <v>52532.07</v>
      </c>
      <c r="C2843">
        <v>506.3</v>
      </c>
      <c r="D2843">
        <v>1.7940000000000001E-2</v>
      </c>
      <c r="E2843">
        <v>1.192E-2</v>
      </c>
    </row>
    <row r="2844" spans="1:5" ht="14.25" customHeight="1">
      <c r="A2844" s="140">
        <v>44734</v>
      </c>
      <c r="B2844">
        <v>51822.53</v>
      </c>
      <c r="C2844">
        <v>498.85</v>
      </c>
      <c r="D2844">
        <v>-1.3599999999999999E-2</v>
      </c>
      <c r="E2844">
        <v>-1.482E-2</v>
      </c>
    </row>
    <row r="2845" spans="1:5" ht="14.25" customHeight="1">
      <c r="A2845" s="140">
        <v>44735</v>
      </c>
      <c r="B2845">
        <v>52265.72</v>
      </c>
      <c r="C2845">
        <v>504.9</v>
      </c>
      <c r="D2845">
        <v>8.5199999999999998E-3</v>
      </c>
      <c r="E2845">
        <v>1.205E-2</v>
      </c>
    </row>
    <row r="2846" spans="1:5" ht="14.25" customHeight="1">
      <c r="A2846" s="140">
        <v>44736</v>
      </c>
      <c r="B2846">
        <v>52727.98</v>
      </c>
      <c r="C2846">
        <v>509.45</v>
      </c>
      <c r="D2846">
        <v>8.8100000000000001E-3</v>
      </c>
      <c r="E2846">
        <v>8.9700000000000005E-3</v>
      </c>
    </row>
    <row r="2847" spans="1:5" ht="14.25" customHeight="1">
      <c r="A2847" s="140">
        <v>44739</v>
      </c>
      <c r="B2847">
        <v>53161.279999999999</v>
      </c>
      <c r="C2847">
        <v>516.1</v>
      </c>
      <c r="D2847">
        <v>8.1799999999999998E-3</v>
      </c>
      <c r="E2847">
        <v>1.2970000000000001E-2</v>
      </c>
    </row>
    <row r="2848" spans="1:5" ht="14.25" customHeight="1">
      <c r="A2848" s="140">
        <v>44740</v>
      </c>
      <c r="B2848">
        <v>53177.45</v>
      </c>
      <c r="C2848">
        <v>511.8</v>
      </c>
      <c r="D2848">
        <v>2.9999999999999997E-4</v>
      </c>
      <c r="E2848">
        <v>-8.3700000000000007E-3</v>
      </c>
    </row>
    <row r="2849" spans="1:5" ht="14.25" customHeight="1">
      <c r="A2849" s="140">
        <v>44741</v>
      </c>
      <c r="B2849">
        <v>53026.97</v>
      </c>
      <c r="C2849">
        <v>501.25</v>
      </c>
      <c r="D2849">
        <v>-2.8300000000000001E-3</v>
      </c>
      <c r="E2849">
        <v>-2.0830000000000001E-2</v>
      </c>
    </row>
    <row r="2850" spans="1:5" ht="14.25" customHeight="1">
      <c r="A2850" s="140">
        <v>44742</v>
      </c>
      <c r="B2850">
        <v>53018.94</v>
      </c>
      <c r="C2850">
        <v>495.95</v>
      </c>
      <c r="D2850">
        <v>-1.4999999999999999E-4</v>
      </c>
      <c r="E2850">
        <v>-1.0630000000000001E-2</v>
      </c>
    </row>
    <row r="2851" spans="1:5" ht="14.25" customHeight="1">
      <c r="A2851" s="140">
        <v>44743</v>
      </c>
      <c r="B2851">
        <v>52907.93</v>
      </c>
      <c r="C2851">
        <v>510.9</v>
      </c>
      <c r="D2851">
        <v>-2.0999999999999999E-3</v>
      </c>
      <c r="E2851">
        <v>2.9700000000000001E-2</v>
      </c>
    </row>
    <row r="2852" spans="1:5" ht="14.25" customHeight="1">
      <c r="A2852" s="140">
        <v>44746</v>
      </c>
      <c r="B2852">
        <v>53234.77</v>
      </c>
      <c r="C2852">
        <v>524.9</v>
      </c>
      <c r="D2852">
        <v>6.1599999999999997E-3</v>
      </c>
      <c r="E2852">
        <v>2.7029999999999998E-2</v>
      </c>
    </row>
    <row r="2853" spans="1:5" ht="14.25" customHeight="1">
      <c r="A2853" s="140">
        <v>44747</v>
      </c>
      <c r="B2853">
        <v>53134.35</v>
      </c>
      <c r="C2853">
        <v>530.20000000000005</v>
      </c>
      <c r="D2853">
        <v>-1.89E-3</v>
      </c>
      <c r="E2853">
        <v>1.005E-2</v>
      </c>
    </row>
    <row r="2854" spans="1:5" ht="14.25" customHeight="1">
      <c r="A2854" s="140">
        <v>44748</v>
      </c>
      <c r="B2854">
        <v>53750.97</v>
      </c>
      <c r="C2854">
        <v>542.85</v>
      </c>
      <c r="D2854">
        <v>1.154E-2</v>
      </c>
      <c r="E2854">
        <v>2.358E-2</v>
      </c>
    </row>
    <row r="2855" spans="1:5" ht="14.25" customHeight="1">
      <c r="A2855" s="140">
        <v>44749</v>
      </c>
      <c r="B2855">
        <v>54178.46</v>
      </c>
      <c r="C2855">
        <v>543.29999999999995</v>
      </c>
      <c r="D2855">
        <v>7.92E-3</v>
      </c>
      <c r="E2855">
        <v>8.3000000000000001E-4</v>
      </c>
    </row>
    <row r="2856" spans="1:5" ht="14.25" customHeight="1">
      <c r="A2856" s="140">
        <v>44750</v>
      </c>
      <c r="B2856">
        <v>54481.84</v>
      </c>
      <c r="C2856">
        <v>543.79999999999995</v>
      </c>
      <c r="D2856">
        <v>5.5799999999999999E-3</v>
      </c>
      <c r="E2856">
        <v>9.2000000000000003E-4</v>
      </c>
    </row>
    <row r="2857" spans="1:5" ht="14.25" customHeight="1">
      <c r="A2857" s="140">
        <v>44753</v>
      </c>
      <c r="B2857">
        <v>54395.23</v>
      </c>
      <c r="C2857">
        <v>545.25</v>
      </c>
      <c r="D2857">
        <v>-1.5900000000000001E-3</v>
      </c>
      <c r="E2857">
        <v>2.66E-3</v>
      </c>
    </row>
    <row r="2858" spans="1:5" ht="14.25" customHeight="1">
      <c r="A2858" s="140">
        <v>44754</v>
      </c>
      <c r="B2858">
        <v>53886.61</v>
      </c>
      <c r="C2858">
        <v>543.54999999999995</v>
      </c>
      <c r="D2858">
        <v>-9.3900000000000008E-3</v>
      </c>
      <c r="E2858">
        <v>-3.1199999999999999E-3</v>
      </c>
    </row>
    <row r="2859" spans="1:5" ht="14.25" customHeight="1">
      <c r="A2859" s="140">
        <v>44755</v>
      </c>
      <c r="B2859">
        <v>53514.15</v>
      </c>
      <c r="C2859">
        <v>545.15</v>
      </c>
      <c r="D2859">
        <v>-6.94E-3</v>
      </c>
      <c r="E2859">
        <v>2.9399999999999999E-3</v>
      </c>
    </row>
    <row r="2860" spans="1:5" ht="14.25" customHeight="1">
      <c r="A2860" s="140">
        <v>44756</v>
      </c>
      <c r="B2860">
        <v>53416.15</v>
      </c>
      <c r="C2860">
        <v>549.45000000000005</v>
      </c>
      <c r="D2860">
        <v>-1.83E-3</v>
      </c>
      <c r="E2860">
        <v>7.8600000000000007E-3</v>
      </c>
    </row>
    <row r="2861" spans="1:5" ht="14.25" customHeight="1">
      <c r="A2861" s="140">
        <v>44757</v>
      </c>
      <c r="B2861">
        <v>53760.78</v>
      </c>
      <c r="C2861">
        <v>548</v>
      </c>
      <c r="D2861">
        <v>6.43E-3</v>
      </c>
      <c r="E2861">
        <v>-2.64E-3</v>
      </c>
    </row>
    <row r="2862" spans="1:5" ht="14.25" customHeight="1">
      <c r="A2862" s="140">
        <v>44760</v>
      </c>
      <c r="B2862">
        <v>54521.15</v>
      </c>
      <c r="C2862">
        <v>550.5</v>
      </c>
      <c r="D2862">
        <v>1.404E-2</v>
      </c>
      <c r="E2862">
        <v>4.5500000000000002E-3</v>
      </c>
    </row>
    <row r="2863" spans="1:5" ht="14.25" customHeight="1">
      <c r="A2863" s="140">
        <v>44761</v>
      </c>
      <c r="B2863">
        <v>54767.62</v>
      </c>
      <c r="C2863">
        <v>548.79999999999995</v>
      </c>
      <c r="D2863">
        <v>4.5100000000000001E-3</v>
      </c>
      <c r="E2863">
        <v>-3.0899999999999999E-3</v>
      </c>
    </row>
    <row r="2864" spans="1:5" ht="14.25" customHeight="1">
      <c r="A2864" s="140">
        <v>44762</v>
      </c>
      <c r="B2864">
        <v>55397.53</v>
      </c>
      <c r="C2864">
        <v>558.5</v>
      </c>
      <c r="D2864">
        <v>1.1440000000000001E-2</v>
      </c>
      <c r="E2864">
        <v>1.7520000000000001E-2</v>
      </c>
    </row>
    <row r="2865" spans="1:5" ht="14.25" customHeight="1">
      <c r="A2865" s="140">
        <v>44763</v>
      </c>
      <c r="B2865">
        <v>55681.95</v>
      </c>
      <c r="C2865">
        <v>572.25</v>
      </c>
      <c r="D2865">
        <v>5.1200000000000004E-3</v>
      </c>
      <c r="E2865">
        <v>2.4320000000000001E-2</v>
      </c>
    </row>
    <row r="2866" spans="1:5" ht="14.25" customHeight="1">
      <c r="A2866" s="140">
        <v>44764</v>
      </c>
      <c r="B2866">
        <v>56072.23</v>
      </c>
      <c r="C2866">
        <v>576.1</v>
      </c>
      <c r="D2866">
        <v>6.9800000000000001E-3</v>
      </c>
      <c r="E2866">
        <v>6.7099999999999998E-3</v>
      </c>
    </row>
    <row r="2867" spans="1:5" ht="14.25" customHeight="1">
      <c r="A2867" s="140">
        <v>44767</v>
      </c>
      <c r="B2867">
        <v>55766.22</v>
      </c>
      <c r="C2867">
        <v>568.29999999999995</v>
      </c>
      <c r="D2867">
        <v>-5.47E-3</v>
      </c>
      <c r="E2867">
        <v>-1.363E-2</v>
      </c>
    </row>
    <row r="2868" spans="1:5" ht="14.25" customHeight="1">
      <c r="A2868" s="140">
        <v>44768</v>
      </c>
      <c r="B2868">
        <v>55268.49</v>
      </c>
      <c r="C2868">
        <v>558.5</v>
      </c>
      <c r="D2868">
        <v>-8.9700000000000005E-3</v>
      </c>
      <c r="E2868">
        <v>-1.7389999999999999E-2</v>
      </c>
    </row>
    <row r="2869" spans="1:5" ht="14.25" customHeight="1">
      <c r="A2869" s="140">
        <v>44769</v>
      </c>
      <c r="B2869">
        <v>55816.32</v>
      </c>
      <c r="C2869">
        <v>567.70000000000005</v>
      </c>
      <c r="D2869">
        <v>9.8600000000000007E-3</v>
      </c>
      <c r="E2869">
        <v>1.634E-2</v>
      </c>
    </row>
    <row r="2870" spans="1:5" ht="14.25" customHeight="1">
      <c r="A2870" s="140">
        <v>44770</v>
      </c>
      <c r="B2870">
        <v>56857.79</v>
      </c>
      <c r="C2870">
        <v>572.65</v>
      </c>
      <c r="D2870">
        <v>1.8489999999999999E-2</v>
      </c>
      <c r="E2870">
        <v>8.6800000000000002E-3</v>
      </c>
    </row>
    <row r="2871" spans="1:5" ht="14.25" customHeight="1">
      <c r="A2871" s="140">
        <v>44771</v>
      </c>
      <c r="B2871">
        <v>57570.25</v>
      </c>
      <c r="C2871">
        <v>584.15</v>
      </c>
      <c r="D2871">
        <v>1.2449999999999999E-2</v>
      </c>
      <c r="E2871">
        <v>1.9879999999999998E-2</v>
      </c>
    </row>
    <row r="2872" spans="1:5" ht="14.25" customHeight="1">
      <c r="A2872" s="140">
        <v>44774</v>
      </c>
      <c r="B2872">
        <v>58115.5</v>
      </c>
      <c r="C2872">
        <v>580.85</v>
      </c>
      <c r="D2872">
        <v>9.4299999999999991E-3</v>
      </c>
      <c r="E2872">
        <v>-5.6699999999999997E-3</v>
      </c>
    </row>
    <row r="2873" spans="1:5" ht="14.25" customHeight="1">
      <c r="A2873" s="140">
        <v>44775</v>
      </c>
      <c r="B2873">
        <v>58136.36</v>
      </c>
      <c r="C2873">
        <v>578.35</v>
      </c>
      <c r="D2873">
        <v>3.6000000000000002E-4</v>
      </c>
      <c r="E2873">
        <v>-4.3099999999999996E-3</v>
      </c>
    </row>
    <row r="2874" spans="1:5" ht="14.25" customHeight="1">
      <c r="A2874" s="140">
        <v>44776</v>
      </c>
      <c r="B2874">
        <v>58350.53</v>
      </c>
      <c r="C2874">
        <v>569.5</v>
      </c>
      <c r="D2874">
        <v>3.6800000000000001E-3</v>
      </c>
      <c r="E2874">
        <v>-1.542E-2</v>
      </c>
    </row>
    <row r="2875" spans="1:5" ht="14.25" customHeight="1">
      <c r="A2875" s="140">
        <v>44777</v>
      </c>
      <c r="B2875">
        <v>58298.8</v>
      </c>
      <c r="C2875">
        <v>574.15</v>
      </c>
      <c r="D2875">
        <v>-8.8999999999999995E-4</v>
      </c>
      <c r="E2875">
        <v>8.1300000000000001E-3</v>
      </c>
    </row>
    <row r="2876" spans="1:5" ht="14.25" customHeight="1">
      <c r="A2876" s="140">
        <v>44778</v>
      </c>
      <c r="B2876">
        <v>58387.93</v>
      </c>
      <c r="C2876">
        <v>579.5</v>
      </c>
      <c r="D2876">
        <v>1.5299999999999999E-3</v>
      </c>
      <c r="E2876">
        <v>9.2700000000000005E-3</v>
      </c>
    </row>
    <row r="2877" spans="1:5" ht="14.25" customHeight="1">
      <c r="A2877" s="140">
        <v>44781</v>
      </c>
      <c r="B2877">
        <v>58853.07</v>
      </c>
      <c r="C2877">
        <v>586.20000000000005</v>
      </c>
      <c r="D2877">
        <v>7.9299999999999995E-3</v>
      </c>
      <c r="E2877">
        <v>1.15E-2</v>
      </c>
    </row>
    <row r="2878" spans="1:5" ht="14.25" customHeight="1">
      <c r="A2878" s="140">
        <v>44783</v>
      </c>
      <c r="B2878">
        <v>58817.29</v>
      </c>
      <c r="C2878">
        <v>584.75</v>
      </c>
      <c r="D2878">
        <v>-6.0999999999999997E-4</v>
      </c>
      <c r="E2878">
        <v>-2.48E-3</v>
      </c>
    </row>
    <row r="2879" spans="1:5" ht="14.25" customHeight="1">
      <c r="A2879" s="140">
        <v>44784</v>
      </c>
      <c r="B2879">
        <v>59332.6</v>
      </c>
      <c r="C2879">
        <v>582.04999999999995</v>
      </c>
      <c r="D2879">
        <v>8.7200000000000003E-3</v>
      </c>
      <c r="E2879">
        <v>-4.6299999999999996E-3</v>
      </c>
    </row>
    <row r="2880" spans="1:5" ht="14.25" customHeight="1">
      <c r="A2880" s="140">
        <v>44785</v>
      </c>
      <c r="B2880">
        <v>59462.78</v>
      </c>
      <c r="C2880">
        <v>581.6</v>
      </c>
      <c r="D2880">
        <v>2.1900000000000001E-3</v>
      </c>
      <c r="E2880">
        <v>-7.6999999999999996E-4</v>
      </c>
    </row>
    <row r="2881" spans="1:5" ht="14.25" customHeight="1">
      <c r="A2881" s="140">
        <v>44789</v>
      </c>
      <c r="B2881">
        <v>59842.21</v>
      </c>
      <c r="C2881">
        <v>579.1</v>
      </c>
      <c r="D2881">
        <v>6.3600000000000002E-3</v>
      </c>
      <c r="E2881">
        <v>-4.3099999999999996E-3</v>
      </c>
    </row>
    <row r="2882" spans="1:5" ht="14.25" customHeight="1">
      <c r="A2882" s="140">
        <v>44790</v>
      </c>
      <c r="B2882">
        <v>60260.13</v>
      </c>
      <c r="C2882">
        <v>585.15</v>
      </c>
      <c r="D2882">
        <v>6.96E-3</v>
      </c>
      <c r="E2882">
        <v>1.039E-2</v>
      </c>
    </row>
    <row r="2883" spans="1:5" ht="14.25" customHeight="1">
      <c r="A2883" s="140">
        <v>44791</v>
      </c>
      <c r="B2883">
        <v>60298</v>
      </c>
      <c r="C2883">
        <v>594.65</v>
      </c>
      <c r="D2883">
        <v>6.3000000000000003E-4</v>
      </c>
      <c r="E2883">
        <v>1.61E-2</v>
      </c>
    </row>
    <row r="2884" spans="1:5" ht="14.25" customHeight="1">
      <c r="A2884" s="140">
        <v>44792</v>
      </c>
      <c r="B2884">
        <v>59646.15</v>
      </c>
      <c r="C2884">
        <v>587.15</v>
      </c>
      <c r="D2884">
        <v>-1.0869999999999999E-2</v>
      </c>
      <c r="E2884">
        <v>-1.269E-2</v>
      </c>
    </row>
    <row r="2885" spans="1:5" ht="14.25" customHeight="1">
      <c r="A2885" s="140">
        <v>44795</v>
      </c>
      <c r="B2885">
        <v>58773.87</v>
      </c>
      <c r="C2885">
        <v>584.54999999999995</v>
      </c>
      <c r="D2885">
        <v>-1.473E-2</v>
      </c>
      <c r="E2885">
        <v>-4.4400000000000004E-3</v>
      </c>
    </row>
    <row r="2886" spans="1:5" ht="14.25" customHeight="1">
      <c r="A2886" s="140">
        <v>44796</v>
      </c>
      <c r="B2886">
        <v>59031.3</v>
      </c>
      <c r="C2886">
        <v>588.25</v>
      </c>
      <c r="D2886">
        <v>4.3699999999999998E-3</v>
      </c>
      <c r="E2886">
        <v>6.3099999999999996E-3</v>
      </c>
    </row>
    <row r="2887" spans="1:5" ht="14.25" customHeight="1">
      <c r="A2887" s="140">
        <v>44797</v>
      </c>
      <c r="B2887">
        <v>59085.43</v>
      </c>
      <c r="C2887">
        <v>586.75</v>
      </c>
      <c r="D2887">
        <v>9.2000000000000003E-4</v>
      </c>
      <c r="E2887">
        <v>-2.5500000000000002E-3</v>
      </c>
    </row>
    <row r="2888" spans="1:5" ht="14.25" customHeight="1">
      <c r="A2888" s="140">
        <v>44798</v>
      </c>
      <c r="B2888">
        <v>58774.720000000001</v>
      </c>
      <c r="C2888">
        <v>580</v>
      </c>
      <c r="D2888">
        <v>-5.2700000000000004E-3</v>
      </c>
      <c r="E2888">
        <v>-1.157E-2</v>
      </c>
    </row>
    <row r="2889" spans="1:5" ht="14.25" customHeight="1">
      <c r="A2889" s="140">
        <v>44799</v>
      </c>
      <c r="B2889">
        <v>58833.87</v>
      </c>
      <c r="C2889">
        <v>571.70000000000005</v>
      </c>
      <c r="D2889">
        <v>1.01E-3</v>
      </c>
      <c r="E2889">
        <v>-1.4409999999999999E-2</v>
      </c>
    </row>
    <row r="2890" spans="1:5" ht="14.25" customHeight="1">
      <c r="A2890" s="140">
        <v>44802</v>
      </c>
      <c r="B2890">
        <v>57972.62</v>
      </c>
      <c r="C2890">
        <v>573.1</v>
      </c>
      <c r="D2890">
        <v>-1.4749999999999999E-2</v>
      </c>
      <c r="E2890">
        <v>2.4499999999999999E-3</v>
      </c>
    </row>
    <row r="2891" spans="1:5" ht="14.25" customHeight="1">
      <c r="A2891" s="140">
        <v>44803</v>
      </c>
      <c r="B2891">
        <v>59537.07</v>
      </c>
      <c r="C2891">
        <v>583.4</v>
      </c>
      <c r="D2891">
        <v>2.6630000000000001E-2</v>
      </c>
      <c r="E2891">
        <v>1.7809999999999999E-2</v>
      </c>
    </row>
    <row r="2892" spans="1:5" ht="14.25" customHeight="1">
      <c r="A2892" s="140">
        <v>44805</v>
      </c>
      <c r="B2892">
        <v>58766.59</v>
      </c>
      <c r="C2892">
        <v>569.54999999999995</v>
      </c>
      <c r="D2892">
        <v>-1.303E-2</v>
      </c>
      <c r="E2892">
        <v>-2.4029999999999999E-2</v>
      </c>
    </row>
    <row r="2893" spans="1:5" ht="14.25" customHeight="1">
      <c r="A2893" s="140">
        <v>44806</v>
      </c>
      <c r="B2893">
        <v>58803.33</v>
      </c>
      <c r="C2893">
        <v>570.79999999999995</v>
      </c>
      <c r="D2893">
        <v>6.2E-4</v>
      </c>
      <c r="E2893">
        <v>2.1900000000000001E-3</v>
      </c>
    </row>
    <row r="2894" spans="1:5" ht="14.25" customHeight="1">
      <c r="A2894" s="140">
        <v>44809</v>
      </c>
      <c r="B2894">
        <v>59245.98</v>
      </c>
      <c r="C2894">
        <v>570.25</v>
      </c>
      <c r="D2894">
        <v>7.4999999999999997E-3</v>
      </c>
      <c r="E2894">
        <v>-9.6000000000000002E-4</v>
      </c>
    </row>
    <row r="2895" spans="1:5" ht="14.25" customHeight="1">
      <c r="A2895" s="140">
        <v>44810</v>
      </c>
      <c r="B2895">
        <v>59196.99</v>
      </c>
      <c r="C2895">
        <v>570.5</v>
      </c>
      <c r="D2895">
        <v>-8.3000000000000001E-4</v>
      </c>
      <c r="E2895">
        <v>4.4000000000000002E-4</v>
      </c>
    </row>
    <row r="2896" spans="1:5" ht="14.25" customHeight="1">
      <c r="A2896" s="140">
        <v>44811</v>
      </c>
      <c r="B2896">
        <v>59028.91</v>
      </c>
      <c r="C2896">
        <v>572.20000000000005</v>
      </c>
      <c r="D2896">
        <v>-2.8400000000000001E-3</v>
      </c>
      <c r="E2896">
        <v>2.98E-3</v>
      </c>
    </row>
    <row r="2897" spans="1:5" ht="14.25" customHeight="1">
      <c r="A2897" s="140">
        <v>44812</v>
      </c>
      <c r="B2897">
        <v>59688.22</v>
      </c>
      <c r="C2897">
        <v>570.45000000000005</v>
      </c>
      <c r="D2897">
        <v>1.111E-2</v>
      </c>
      <c r="E2897">
        <v>-3.0599999999999998E-3</v>
      </c>
    </row>
    <row r="2898" spans="1:5" ht="14.25" customHeight="1">
      <c r="A2898" s="140">
        <v>44813</v>
      </c>
      <c r="B2898">
        <v>59793.14</v>
      </c>
      <c r="C2898">
        <v>574.75</v>
      </c>
      <c r="D2898">
        <v>1.7600000000000001E-3</v>
      </c>
      <c r="E2898">
        <v>7.5100000000000002E-3</v>
      </c>
    </row>
    <row r="2899" spans="1:5" ht="14.25" customHeight="1">
      <c r="A2899" s="140">
        <v>44816</v>
      </c>
      <c r="B2899">
        <v>60115.13</v>
      </c>
      <c r="C2899">
        <v>570.35</v>
      </c>
      <c r="D2899">
        <v>5.3699999999999998E-3</v>
      </c>
      <c r="E2899">
        <v>-7.6800000000000002E-3</v>
      </c>
    </row>
    <row r="2900" spans="1:5" ht="14.25" customHeight="1">
      <c r="A2900" s="140">
        <v>44817</v>
      </c>
      <c r="B2900">
        <v>60571.08</v>
      </c>
      <c r="C2900">
        <v>571.1</v>
      </c>
      <c r="D2900">
        <v>7.5599999999999999E-3</v>
      </c>
      <c r="E2900">
        <v>1.31E-3</v>
      </c>
    </row>
    <row r="2901" spans="1:5" ht="14.25" customHeight="1">
      <c r="A2901" s="140">
        <v>44818</v>
      </c>
      <c r="B2901">
        <v>60346.97</v>
      </c>
      <c r="C2901">
        <v>566.35</v>
      </c>
      <c r="D2901">
        <v>-3.7100000000000002E-3</v>
      </c>
      <c r="E2901">
        <v>-8.3499999999999998E-3</v>
      </c>
    </row>
    <row r="2902" spans="1:5" ht="14.25" customHeight="1">
      <c r="A2902" s="140">
        <v>44819</v>
      </c>
      <c r="B2902">
        <v>59934.01</v>
      </c>
      <c r="C2902">
        <v>563.65</v>
      </c>
      <c r="D2902">
        <v>-6.8700000000000002E-3</v>
      </c>
      <c r="E2902">
        <v>-4.7800000000000004E-3</v>
      </c>
    </row>
    <row r="2903" spans="1:5" ht="14.25" customHeight="1">
      <c r="A2903" s="140">
        <v>44820</v>
      </c>
      <c r="B2903">
        <v>58840.79</v>
      </c>
      <c r="C2903">
        <v>546.79999999999995</v>
      </c>
      <c r="D2903">
        <v>-1.8409999999999999E-2</v>
      </c>
      <c r="E2903">
        <v>-3.0349999999999999E-2</v>
      </c>
    </row>
    <row r="2904" spans="1:5" ht="14.25" customHeight="1">
      <c r="A2904" s="140">
        <v>44823</v>
      </c>
      <c r="B2904">
        <v>59141.23</v>
      </c>
      <c r="C2904">
        <v>548.04999999999995</v>
      </c>
      <c r="D2904">
        <v>5.0899999999999999E-3</v>
      </c>
      <c r="E2904">
        <v>2.2799999999999999E-3</v>
      </c>
    </row>
    <row r="2905" spans="1:5" ht="14.25" customHeight="1">
      <c r="A2905" s="140">
        <v>44824</v>
      </c>
      <c r="B2905">
        <v>59719.74</v>
      </c>
      <c r="C2905">
        <v>555.95000000000005</v>
      </c>
      <c r="D2905">
        <v>9.7300000000000008E-3</v>
      </c>
      <c r="E2905">
        <v>1.431E-2</v>
      </c>
    </row>
    <row r="2906" spans="1:5" ht="14.25" customHeight="1">
      <c r="A2906" s="140">
        <v>44825</v>
      </c>
      <c r="B2906">
        <v>59456.78</v>
      </c>
      <c r="C2906">
        <v>561</v>
      </c>
      <c r="D2906">
        <v>-4.4099999999999999E-3</v>
      </c>
      <c r="E2906">
        <v>9.0399999999999994E-3</v>
      </c>
    </row>
    <row r="2907" spans="1:5" ht="14.25" customHeight="1">
      <c r="A2907" s="140">
        <v>44826</v>
      </c>
      <c r="B2907">
        <v>59119.72</v>
      </c>
      <c r="C2907">
        <v>576.04999999999995</v>
      </c>
      <c r="D2907">
        <v>-5.6899999999999997E-3</v>
      </c>
      <c r="E2907">
        <v>2.647E-2</v>
      </c>
    </row>
    <row r="2908" spans="1:5" ht="14.25" customHeight="1">
      <c r="A2908" s="140">
        <v>44827</v>
      </c>
      <c r="B2908">
        <v>58098.92</v>
      </c>
      <c r="C2908">
        <v>567.70000000000005</v>
      </c>
      <c r="D2908">
        <v>-1.7420000000000001E-2</v>
      </c>
      <c r="E2908">
        <v>-1.46E-2</v>
      </c>
    </row>
    <row r="2909" spans="1:5" ht="14.25" customHeight="1">
      <c r="A2909" s="140">
        <v>44830</v>
      </c>
      <c r="B2909">
        <v>57145.22</v>
      </c>
      <c r="C2909">
        <v>556.1</v>
      </c>
      <c r="D2909">
        <v>-1.6549999999999999E-2</v>
      </c>
      <c r="E2909">
        <v>-2.0639999999999999E-2</v>
      </c>
    </row>
    <row r="2910" spans="1:5" ht="14.25" customHeight="1">
      <c r="A2910" s="140">
        <v>44831</v>
      </c>
      <c r="B2910">
        <v>57107.519999999997</v>
      </c>
      <c r="C2910">
        <v>560.70000000000005</v>
      </c>
      <c r="D2910">
        <v>-6.6E-4</v>
      </c>
      <c r="E2910">
        <v>8.2400000000000008E-3</v>
      </c>
    </row>
    <row r="2911" spans="1:5" ht="14.25" customHeight="1">
      <c r="A2911" s="140">
        <v>44832</v>
      </c>
      <c r="B2911">
        <v>56598.28</v>
      </c>
      <c r="C2911">
        <v>564.29999999999995</v>
      </c>
      <c r="D2911">
        <v>-8.9599999999999992E-3</v>
      </c>
      <c r="E2911">
        <v>6.4000000000000003E-3</v>
      </c>
    </row>
    <row r="2912" spans="1:5" ht="14.25" customHeight="1">
      <c r="A2912" s="140">
        <v>44833</v>
      </c>
      <c r="B2912">
        <v>56409.96</v>
      </c>
      <c r="C2912">
        <v>575.5</v>
      </c>
      <c r="D2912">
        <v>-3.3300000000000001E-3</v>
      </c>
      <c r="E2912">
        <v>1.9650000000000001E-2</v>
      </c>
    </row>
    <row r="2913" spans="1:5" ht="14.25" customHeight="1">
      <c r="A2913" s="140">
        <v>44834</v>
      </c>
      <c r="B2913">
        <v>57426.92</v>
      </c>
      <c r="C2913">
        <v>572.54999999999995</v>
      </c>
      <c r="D2913">
        <v>1.787E-2</v>
      </c>
      <c r="E2913">
        <v>-5.1399999999999996E-3</v>
      </c>
    </row>
    <row r="2914" spans="1:5" ht="14.25" customHeight="1">
      <c r="A2914" s="140">
        <v>44837</v>
      </c>
      <c r="B2914">
        <v>56788.81</v>
      </c>
      <c r="C2914">
        <v>557.04999999999995</v>
      </c>
      <c r="D2914">
        <v>-1.1169999999999999E-2</v>
      </c>
      <c r="E2914">
        <v>-2.7449999999999999E-2</v>
      </c>
    </row>
    <row r="2915" spans="1:5" ht="14.25" customHeight="1">
      <c r="A2915" s="140">
        <v>44838</v>
      </c>
      <c r="B2915">
        <v>58065.47</v>
      </c>
      <c r="C2915">
        <v>554.04999999999995</v>
      </c>
      <c r="D2915">
        <v>2.223E-2</v>
      </c>
      <c r="E2915">
        <v>-5.4000000000000003E-3</v>
      </c>
    </row>
    <row r="2916" spans="1:5" ht="14.25" customHeight="1">
      <c r="A2916" s="140">
        <v>44840</v>
      </c>
      <c r="B2916">
        <v>58222.1</v>
      </c>
      <c r="C2916">
        <v>545.45000000000005</v>
      </c>
      <c r="D2916">
        <v>2.6900000000000001E-3</v>
      </c>
      <c r="E2916">
        <v>-1.5640000000000001E-2</v>
      </c>
    </row>
    <row r="2917" spans="1:5" ht="14.25" customHeight="1">
      <c r="A2917" s="140">
        <v>44841</v>
      </c>
      <c r="B2917">
        <v>58191.29</v>
      </c>
      <c r="C2917">
        <v>539.54999999999995</v>
      </c>
      <c r="D2917">
        <v>-5.2999999999999998E-4</v>
      </c>
      <c r="E2917">
        <v>-1.0880000000000001E-2</v>
      </c>
    </row>
    <row r="2918" spans="1:5" ht="14.25" customHeight="1">
      <c r="A2918" s="140">
        <v>44844</v>
      </c>
      <c r="B2918">
        <v>57991.11</v>
      </c>
      <c r="C2918">
        <v>529</v>
      </c>
      <c r="D2918">
        <v>-3.4499999999999999E-3</v>
      </c>
      <c r="E2918">
        <v>-1.975E-2</v>
      </c>
    </row>
    <row r="2919" spans="1:5" ht="14.25" customHeight="1">
      <c r="A2919" s="140">
        <v>44845</v>
      </c>
      <c r="B2919">
        <v>57147.32</v>
      </c>
      <c r="C2919">
        <v>518.75</v>
      </c>
      <c r="D2919">
        <v>-1.4659999999999999E-2</v>
      </c>
      <c r="E2919">
        <v>-1.9570000000000001E-2</v>
      </c>
    </row>
    <row r="2920" spans="1:5" ht="14.25" customHeight="1">
      <c r="A2920" s="140">
        <v>44846</v>
      </c>
      <c r="B2920">
        <v>57625.91</v>
      </c>
      <c r="C2920">
        <v>534.54999999999995</v>
      </c>
      <c r="D2920">
        <v>8.3400000000000002E-3</v>
      </c>
      <c r="E2920">
        <v>0.03</v>
      </c>
    </row>
    <row r="2921" spans="1:5" ht="14.25" customHeight="1">
      <c r="A2921" s="140">
        <v>44847</v>
      </c>
      <c r="B2921">
        <v>57235.33</v>
      </c>
      <c r="C2921">
        <v>529.75</v>
      </c>
      <c r="D2921">
        <v>-6.7999999999999996E-3</v>
      </c>
      <c r="E2921">
        <v>-9.0200000000000002E-3</v>
      </c>
    </row>
    <row r="2922" spans="1:5" ht="14.25" customHeight="1">
      <c r="A2922" s="140">
        <v>44848</v>
      </c>
      <c r="B2922">
        <v>57919.97</v>
      </c>
      <c r="C2922">
        <v>531.65</v>
      </c>
      <c r="D2922">
        <v>1.189E-2</v>
      </c>
      <c r="E2922">
        <v>3.5799999999999998E-3</v>
      </c>
    </row>
    <row r="2923" spans="1:5" ht="14.25" customHeight="1">
      <c r="A2923" s="140">
        <v>44851</v>
      </c>
      <c r="B2923">
        <v>58410.98</v>
      </c>
      <c r="C2923">
        <v>529.75</v>
      </c>
      <c r="D2923">
        <v>8.4399999999999996E-3</v>
      </c>
      <c r="E2923">
        <v>-3.5799999999999998E-3</v>
      </c>
    </row>
    <row r="2924" spans="1:5" ht="14.25" customHeight="1">
      <c r="A2924" s="140">
        <v>44852</v>
      </c>
      <c r="B2924">
        <v>58960.6</v>
      </c>
      <c r="C2924">
        <v>531.70000000000005</v>
      </c>
      <c r="D2924">
        <v>9.3699999999999999E-3</v>
      </c>
      <c r="E2924">
        <v>3.6700000000000001E-3</v>
      </c>
    </row>
    <row r="2925" spans="1:5" ht="14.25" customHeight="1">
      <c r="A2925" s="140">
        <v>44853</v>
      </c>
      <c r="B2925">
        <v>59107.19</v>
      </c>
      <c r="C2925">
        <v>526.15</v>
      </c>
      <c r="D2925">
        <v>2.48E-3</v>
      </c>
      <c r="E2925">
        <v>-1.0489999999999999E-2</v>
      </c>
    </row>
    <row r="2926" spans="1:5" ht="14.25" customHeight="1">
      <c r="A2926" s="140">
        <v>44854</v>
      </c>
      <c r="B2926">
        <v>59202.9</v>
      </c>
      <c r="C2926">
        <v>535.4</v>
      </c>
      <c r="D2926">
        <v>1.6199999999999999E-3</v>
      </c>
      <c r="E2926">
        <v>1.7430000000000001E-2</v>
      </c>
    </row>
    <row r="2927" spans="1:5" ht="14.25" customHeight="1">
      <c r="A2927" s="140">
        <v>44855</v>
      </c>
      <c r="B2927">
        <v>59307.15</v>
      </c>
      <c r="C2927">
        <v>537.54999999999995</v>
      </c>
      <c r="D2927">
        <v>1.7600000000000001E-3</v>
      </c>
      <c r="E2927">
        <v>4.0099999999999997E-3</v>
      </c>
    </row>
    <row r="2928" spans="1:5" ht="14.25" customHeight="1">
      <c r="A2928" s="140">
        <v>44858</v>
      </c>
      <c r="B2928">
        <v>59831.66</v>
      </c>
      <c r="C2928">
        <v>537.1</v>
      </c>
      <c r="D2928">
        <v>8.8100000000000001E-3</v>
      </c>
      <c r="E2928">
        <v>-8.4000000000000003E-4</v>
      </c>
    </row>
    <row r="2929" spans="1:5" ht="14.25" customHeight="1">
      <c r="A2929" s="140">
        <v>44859</v>
      </c>
      <c r="B2929">
        <v>59543.96</v>
      </c>
      <c r="C2929">
        <v>532.1</v>
      </c>
      <c r="D2929">
        <v>-4.8199999999999996E-3</v>
      </c>
      <c r="E2929">
        <v>-9.3500000000000007E-3</v>
      </c>
    </row>
    <row r="2930" spans="1:5" ht="14.25" customHeight="1">
      <c r="A2930" s="140">
        <v>44861</v>
      </c>
      <c r="B2930">
        <v>59756.84</v>
      </c>
      <c r="C2930">
        <v>549.35</v>
      </c>
      <c r="D2930">
        <v>3.5699999999999998E-3</v>
      </c>
      <c r="E2930">
        <v>3.1899999999999998E-2</v>
      </c>
    </row>
    <row r="2931" spans="1:5" ht="14.25" customHeight="1">
      <c r="A2931" s="140">
        <v>44862</v>
      </c>
      <c r="B2931">
        <v>59959.85</v>
      </c>
      <c r="C2931">
        <v>550.9</v>
      </c>
      <c r="D2931">
        <v>3.3899999999999998E-3</v>
      </c>
      <c r="E2931">
        <v>2.82E-3</v>
      </c>
    </row>
    <row r="2932" spans="1:5" ht="14.25" customHeight="1">
      <c r="A2932" s="140">
        <v>44865</v>
      </c>
      <c r="B2932">
        <v>60746.59</v>
      </c>
      <c r="C2932">
        <v>554.54999999999995</v>
      </c>
      <c r="D2932">
        <v>1.304E-2</v>
      </c>
      <c r="E2932">
        <v>6.6E-3</v>
      </c>
    </row>
    <row r="2933" spans="1:5" ht="14.25" customHeight="1">
      <c r="A2933" s="140">
        <v>44866</v>
      </c>
      <c r="B2933">
        <v>61121.35</v>
      </c>
      <c r="C2933">
        <v>563.70000000000005</v>
      </c>
      <c r="D2933">
        <v>6.1500000000000001E-3</v>
      </c>
      <c r="E2933">
        <v>1.6369999999999999E-2</v>
      </c>
    </row>
    <row r="2934" spans="1:5" ht="14.25" customHeight="1">
      <c r="A2934" s="140">
        <v>44867</v>
      </c>
      <c r="B2934">
        <v>60906.09</v>
      </c>
      <c r="C2934">
        <v>562.04999999999995</v>
      </c>
      <c r="D2934">
        <v>-3.5300000000000002E-3</v>
      </c>
      <c r="E2934">
        <v>-2.9299999999999999E-3</v>
      </c>
    </row>
    <row r="2935" spans="1:5" ht="14.25" customHeight="1">
      <c r="A2935" s="140">
        <v>44868</v>
      </c>
      <c r="B2935">
        <v>60836.41</v>
      </c>
      <c r="C2935">
        <v>555.75</v>
      </c>
      <c r="D2935">
        <v>-1.14E-3</v>
      </c>
      <c r="E2935">
        <v>-1.1270000000000001E-2</v>
      </c>
    </row>
    <row r="2936" spans="1:5" ht="14.25" customHeight="1">
      <c r="A2936" s="140">
        <v>44869</v>
      </c>
      <c r="B2936">
        <v>60950.36</v>
      </c>
      <c r="C2936">
        <v>557.35</v>
      </c>
      <c r="D2936">
        <v>1.8699999999999999E-3</v>
      </c>
      <c r="E2936">
        <v>2.8700000000000002E-3</v>
      </c>
    </row>
    <row r="2937" spans="1:5" ht="14.25" customHeight="1">
      <c r="A2937" s="140">
        <v>44872</v>
      </c>
      <c r="B2937">
        <v>61185.15</v>
      </c>
      <c r="C2937">
        <v>553.70000000000005</v>
      </c>
      <c r="D2937">
        <v>3.8400000000000001E-3</v>
      </c>
      <c r="E2937">
        <v>-6.5700000000000003E-3</v>
      </c>
    </row>
    <row r="2938" spans="1:5" ht="14.25" customHeight="1">
      <c r="A2938" s="140">
        <v>44874</v>
      </c>
      <c r="B2938">
        <v>61033.55</v>
      </c>
      <c r="C2938">
        <v>553.95000000000005</v>
      </c>
      <c r="D2938">
        <v>-2.48E-3</v>
      </c>
      <c r="E2938">
        <v>4.4999999999999999E-4</v>
      </c>
    </row>
    <row r="2939" spans="1:5" ht="14.25" customHeight="1">
      <c r="A2939" s="140">
        <v>44875</v>
      </c>
      <c r="B2939">
        <v>60613.7</v>
      </c>
      <c r="C2939">
        <v>554</v>
      </c>
      <c r="D2939">
        <v>-6.8999999999999999E-3</v>
      </c>
      <c r="E2939">
        <v>9.0000000000000006E-5</v>
      </c>
    </row>
    <row r="2940" spans="1:5" ht="14.25" customHeight="1">
      <c r="A2940" s="140">
        <v>44876</v>
      </c>
      <c r="B2940">
        <v>61795.040000000001</v>
      </c>
      <c r="C2940">
        <v>552.95000000000005</v>
      </c>
      <c r="D2940">
        <v>1.9300000000000001E-2</v>
      </c>
      <c r="E2940">
        <v>-1.9E-3</v>
      </c>
    </row>
    <row r="2941" spans="1:5" ht="14.25" customHeight="1">
      <c r="A2941" s="140">
        <v>44879</v>
      </c>
      <c r="B2941">
        <v>61624.15</v>
      </c>
      <c r="C2941">
        <v>553.5</v>
      </c>
      <c r="D2941">
        <v>-2.7699999999999999E-3</v>
      </c>
      <c r="E2941">
        <v>9.8999999999999999E-4</v>
      </c>
    </row>
    <row r="2942" spans="1:5" ht="14.25" customHeight="1">
      <c r="A2942" s="140">
        <v>44880</v>
      </c>
      <c r="B2942">
        <v>61872.99</v>
      </c>
      <c r="C2942">
        <v>550.85</v>
      </c>
      <c r="D2942">
        <v>4.0299999999999997E-3</v>
      </c>
      <c r="E2942">
        <v>-4.7999999999999996E-3</v>
      </c>
    </row>
    <row r="2943" spans="1:5" ht="14.25" customHeight="1">
      <c r="A2943" s="140">
        <v>44881</v>
      </c>
      <c r="B2943">
        <v>61980.72</v>
      </c>
      <c r="C2943">
        <v>550</v>
      </c>
      <c r="D2943">
        <v>1.74E-3</v>
      </c>
      <c r="E2943">
        <v>-1.5399999999999999E-3</v>
      </c>
    </row>
    <row r="2944" spans="1:5" ht="14.25" customHeight="1">
      <c r="A2944" s="140">
        <v>44882</v>
      </c>
      <c r="B2944">
        <v>61750.6</v>
      </c>
      <c r="C2944">
        <v>551.79999999999995</v>
      </c>
      <c r="D2944">
        <v>-3.7200000000000002E-3</v>
      </c>
      <c r="E2944">
        <v>3.2699999999999999E-3</v>
      </c>
    </row>
    <row r="2945" spans="1:5" ht="14.25" customHeight="1">
      <c r="A2945" s="140">
        <v>44883</v>
      </c>
      <c r="B2945">
        <v>61663.48</v>
      </c>
      <c r="C2945">
        <v>548.70000000000005</v>
      </c>
      <c r="D2945">
        <v>-1.41E-3</v>
      </c>
      <c r="E2945">
        <v>-5.6299999999999996E-3</v>
      </c>
    </row>
    <row r="2946" spans="1:5" ht="14.25" customHeight="1">
      <c r="A2946" s="140">
        <v>44886</v>
      </c>
      <c r="B2946">
        <v>61144.84</v>
      </c>
      <c r="C2946">
        <v>550.65</v>
      </c>
      <c r="D2946">
        <v>-8.4499999999999992E-3</v>
      </c>
      <c r="E2946">
        <v>3.5500000000000002E-3</v>
      </c>
    </row>
    <row r="2947" spans="1:5" ht="14.25" customHeight="1">
      <c r="A2947" s="140">
        <v>44887</v>
      </c>
      <c r="B2947">
        <v>61418.96</v>
      </c>
      <c r="C2947">
        <v>546.85</v>
      </c>
      <c r="D2947">
        <v>4.47E-3</v>
      </c>
      <c r="E2947">
        <v>-6.9199999999999999E-3</v>
      </c>
    </row>
    <row r="2948" spans="1:5" ht="14.25" customHeight="1">
      <c r="A2948" s="140">
        <v>44888</v>
      </c>
      <c r="B2948">
        <v>61510.58</v>
      </c>
      <c r="C2948">
        <v>551.25</v>
      </c>
      <c r="D2948">
        <v>1.49E-3</v>
      </c>
      <c r="E2948">
        <v>8.0099999999999998E-3</v>
      </c>
    </row>
    <row r="2949" spans="1:5" ht="14.25" customHeight="1">
      <c r="A2949" s="140">
        <v>44889</v>
      </c>
      <c r="B2949">
        <v>62272.68</v>
      </c>
      <c r="C2949">
        <v>553.15</v>
      </c>
      <c r="D2949">
        <v>1.231E-2</v>
      </c>
      <c r="E2949">
        <v>3.4399999999999999E-3</v>
      </c>
    </row>
    <row r="2950" spans="1:5" ht="14.25" customHeight="1">
      <c r="A2950" s="140">
        <v>44890</v>
      </c>
      <c r="B2950">
        <v>62293.64</v>
      </c>
      <c r="C2950">
        <v>556.9</v>
      </c>
      <c r="D2950">
        <v>3.4000000000000002E-4</v>
      </c>
      <c r="E2950">
        <v>6.7600000000000004E-3</v>
      </c>
    </row>
    <row r="2951" spans="1:5" ht="14.25" customHeight="1">
      <c r="A2951" s="140">
        <v>44893</v>
      </c>
      <c r="B2951">
        <v>62504.800000000003</v>
      </c>
      <c r="C2951">
        <v>558.70000000000005</v>
      </c>
      <c r="D2951">
        <v>3.3800000000000002E-3</v>
      </c>
      <c r="E2951">
        <v>3.2299999999999998E-3</v>
      </c>
    </row>
    <row r="2952" spans="1:5" ht="14.25" customHeight="1">
      <c r="A2952" s="140">
        <v>44894</v>
      </c>
      <c r="B2952">
        <v>62681.84</v>
      </c>
      <c r="C2952">
        <v>593.20000000000005</v>
      </c>
      <c r="D2952">
        <v>2.8300000000000001E-3</v>
      </c>
      <c r="E2952">
        <v>5.9920000000000001E-2</v>
      </c>
    </row>
    <row r="2953" spans="1:5" ht="14.25" customHeight="1">
      <c r="A2953" s="140">
        <v>44895</v>
      </c>
      <c r="B2953">
        <v>63099.65</v>
      </c>
      <c r="C2953">
        <v>589.15</v>
      </c>
      <c r="D2953">
        <v>6.6400000000000001E-3</v>
      </c>
      <c r="E2953">
        <v>-6.8500000000000002E-3</v>
      </c>
    </row>
    <row r="2954" spans="1:5" ht="14.25" customHeight="1">
      <c r="A2954" s="140">
        <v>44896</v>
      </c>
      <c r="B2954">
        <v>63284.19</v>
      </c>
      <c r="C2954">
        <v>586.70000000000005</v>
      </c>
      <c r="D2954">
        <v>2.9199999999999999E-3</v>
      </c>
      <c r="E2954">
        <v>-4.1700000000000001E-3</v>
      </c>
    </row>
    <row r="2955" spans="1:5" ht="14.25" customHeight="1">
      <c r="A2955" s="140">
        <v>44897</v>
      </c>
      <c r="B2955">
        <v>62868.5</v>
      </c>
      <c r="C2955">
        <v>591.29999999999995</v>
      </c>
      <c r="D2955">
        <v>-6.5900000000000004E-3</v>
      </c>
      <c r="E2955">
        <v>7.8100000000000001E-3</v>
      </c>
    </row>
    <row r="2956" spans="1:5" ht="14.25" customHeight="1">
      <c r="A2956" s="140">
        <v>44900</v>
      </c>
      <c r="B2956">
        <v>62834.6</v>
      </c>
      <c r="C2956">
        <v>586.95000000000005</v>
      </c>
      <c r="D2956">
        <v>-5.4000000000000001E-4</v>
      </c>
      <c r="E2956">
        <v>-7.3800000000000003E-3</v>
      </c>
    </row>
    <row r="2957" spans="1:5" ht="14.25" customHeight="1">
      <c r="A2957" s="140">
        <v>44901</v>
      </c>
      <c r="B2957">
        <v>62626.36</v>
      </c>
      <c r="C2957">
        <v>592.20000000000005</v>
      </c>
      <c r="D2957">
        <v>-3.32E-3</v>
      </c>
      <c r="E2957">
        <v>8.8999999999999999E-3</v>
      </c>
    </row>
    <row r="2958" spans="1:5" ht="14.25" customHeight="1">
      <c r="A2958" s="140">
        <v>44902</v>
      </c>
      <c r="B2958">
        <v>62410.68</v>
      </c>
      <c r="C2958">
        <v>602.04999999999995</v>
      </c>
      <c r="D2958">
        <v>-3.4499999999999999E-3</v>
      </c>
      <c r="E2958">
        <v>1.6500000000000001E-2</v>
      </c>
    </row>
    <row r="2959" spans="1:5" ht="14.25" customHeight="1">
      <c r="A2959" s="140">
        <v>44903</v>
      </c>
      <c r="B2959">
        <v>62570.68</v>
      </c>
      <c r="C2959">
        <v>604.04999999999995</v>
      </c>
      <c r="D2959">
        <v>2.5600000000000002E-3</v>
      </c>
      <c r="E2959">
        <v>3.32E-3</v>
      </c>
    </row>
    <row r="2960" spans="1:5" ht="14.25" customHeight="1">
      <c r="A2960" s="140">
        <v>44904</v>
      </c>
      <c r="B2960">
        <v>62181.67</v>
      </c>
      <c r="C2960">
        <v>599.1</v>
      </c>
      <c r="D2960">
        <v>-6.2399999999999999E-3</v>
      </c>
      <c r="E2960">
        <v>-8.2299999999999995E-3</v>
      </c>
    </row>
    <row r="2961" spans="1:5" ht="14.25" customHeight="1">
      <c r="A2961" s="140">
        <v>44907</v>
      </c>
      <c r="B2961">
        <v>62130.57</v>
      </c>
      <c r="C2961">
        <v>602.35</v>
      </c>
      <c r="D2961">
        <v>-8.1999999999999998E-4</v>
      </c>
      <c r="E2961">
        <v>5.4099999999999999E-3</v>
      </c>
    </row>
    <row r="2962" spans="1:5" ht="14.25" customHeight="1">
      <c r="A2962" s="140">
        <v>44908</v>
      </c>
      <c r="B2962">
        <v>62533.3</v>
      </c>
      <c r="C2962">
        <v>594.29999999999995</v>
      </c>
      <c r="D2962">
        <v>6.4599999999999996E-3</v>
      </c>
      <c r="E2962">
        <v>-1.345E-2</v>
      </c>
    </row>
    <row r="2963" spans="1:5" ht="14.25" customHeight="1">
      <c r="A2963" s="140">
        <v>44909</v>
      </c>
      <c r="B2963">
        <v>62677.91</v>
      </c>
      <c r="C2963">
        <v>587</v>
      </c>
      <c r="D2963">
        <v>2.31E-3</v>
      </c>
      <c r="E2963">
        <v>-1.2359999999999999E-2</v>
      </c>
    </row>
    <row r="2964" spans="1:5" ht="14.25" customHeight="1">
      <c r="A2964" s="140">
        <v>44910</v>
      </c>
      <c r="B2964">
        <v>61799.03</v>
      </c>
      <c r="C2964">
        <v>586.65</v>
      </c>
      <c r="D2964">
        <v>-1.4120000000000001E-2</v>
      </c>
      <c r="E2964">
        <v>-5.9999999999999995E-4</v>
      </c>
    </row>
    <row r="2965" spans="1:5" ht="14.25" customHeight="1">
      <c r="A2965" s="140">
        <v>44911</v>
      </c>
      <c r="B2965">
        <v>61337.81</v>
      </c>
      <c r="C2965">
        <v>579.79999999999995</v>
      </c>
      <c r="D2965">
        <v>-7.4900000000000001E-3</v>
      </c>
      <c r="E2965">
        <v>-1.175E-2</v>
      </c>
    </row>
    <row r="2966" spans="1:5" ht="14.25" customHeight="1">
      <c r="A2966" s="140">
        <v>44914</v>
      </c>
      <c r="B2966">
        <v>61806.19</v>
      </c>
      <c r="C2966">
        <v>588.75</v>
      </c>
      <c r="D2966">
        <v>7.6099999999999996E-3</v>
      </c>
      <c r="E2966">
        <v>1.532E-2</v>
      </c>
    </row>
    <row r="2967" spans="1:5" ht="14.25" customHeight="1">
      <c r="A2967" s="140">
        <v>44915</v>
      </c>
      <c r="B2967">
        <v>61702.29</v>
      </c>
      <c r="C2967">
        <v>579.85</v>
      </c>
      <c r="D2967">
        <v>-1.6800000000000001E-3</v>
      </c>
      <c r="E2967">
        <v>-1.523E-2</v>
      </c>
    </row>
    <row r="2968" spans="1:5" ht="14.25" customHeight="1">
      <c r="A2968" s="140">
        <v>44916</v>
      </c>
      <c r="B2968">
        <v>61067.24</v>
      </c>
      <c r="C2968">
        <v>577.25</v>
      </c>
      <c r="D2968">
        <v>-1.035E-2</v>
      </c>
      <c r="E2968">
        <v>-4.4900000000000001E-3</v>
      </c>
    </row>
    <row r="2969" spans="1:5" ht="14.25" customHeight="1">
      <c r="A2969" s="140">
        <v>44917</v>
      </c>
      <c r="B2969">
        <v>60826.22</v>
      </c>
      <c r="C2969">
        <v>577.45000000000005</v>
      </c>
      <c r="D2969">
        <v>-3.9500000000000004E-3</v>
      </c>
      <c r="E2969">
        <v>3.5E-4</v>
      </c>
    </row>
    <row r="2970" spans="1:5" ht="14.25" customHeight="1">
      <c r="A2970" s="140">
        <v>44918</v>
      </c>
      <c r="B2970">
        <v>59845.29</v>
      </c>
      <c r="C2970">
        <v>565.65</v>
      </c>
      <c r="D2970">
        <v>-1.626E-2</v>
      </c>
      <c r="E2970">
        <v>-2.0650000000000002E-2</v>
      </c>
    </row>
    <row r="2971" spans="1:5" ht="14.25" customHeight="1">
      <c r="A2971" s="140">
        <v>44921</v>
      </c>
      <c r="B2971">
        <v>60566.42</v>
      </c>
      <c r="C2971">
        <v>565.85</v>
      </c>
      <c r="D2971">
        <v>1.1979999999999999E-2</v>
      </c>
      <c r="E2971">
        <v>3.5E-4</v>
      </c>
    </row>
    <row r="2972" spans="1:5" ht="14.25" customHeight="1">
      <c r="A2972" s="140">
        <v>44922</v>
      </c>
      <c r="B2972">
        <v>60927.43</v>
      </c>
      <c r="C2972">
        <v>572.9</v>
      </c>
      <c r="D2972">
        <v>5.94E-3</v>
      </c>
      <c r="E2972">
        <v>1.238E-2</v>
      </c>
    </row>
    <row r="2973" spans="1:5" ht="14.25" customHeight="1">
      <c r="A2973" s="140">
        <v>44923</v>
      </c>
      <c r="B2973">
        <v>60910.28</v>
      </c>
      <c r="C2973">
        <v>568.9</v>
      </c>
      <c r="D2973">
        <v>-2.7999999999999998E-4</v>
      </c>
      <c r="E2973">
        <v>-7.0099999999999997E-3</v>
      </c>
    </row>
    <row r="2974" spans="1:5" ht="14.25" customHeight="1">
      <c r="A2974" s="140">
        <v>44924</v>
      </c>
      <c r="B2974">
        <v>61133.88</v>
      </c>
      <c r="C2974">
        <v>561.1</v>
      </c>
      <c r="D2974">
        <v>3.6600000000000001E-3</v>
      </c>
      <c r="E2974">
        <v>-1.3809999999999999E-2</v>
      </c>
    </row>
    <row r="2975" spans="1:5" ht="14.25" customHeight="1">
      <c r="A2975" s="140">
        <v>44925</v>
      </c>
      <c r="B2975">
        <v>60840.74</v>
      </c>
      <c r="C2975">
        <v>561.4</v>
      </c>
      <c r="D2975">
        <v>-4.81E-3</v>
      </c>
      <c r="E2975">
        <v>5.2999999999999998E-4</v>
      </c>
    </row>
    <row r="2976" spans="1:5" ht="14.25" customHeight="1">
      <c r="A2976" s="140">
        <v>44928</v>
      </c>
      <c r="B2976">
        <v>61167.79</v>
      </c>
      <c r="C2976">
        <v>561.75</v>
      </c>
      <c r="D2976">
        <v>5.3600000000000002E-3</v>
      </c>
      <c r="E2976">
        <v>6.2E-4</v>
      </c>
    </row>
    <row r="2977" spans="1:5" ht="14.25" customHeight="1">
      <c r="A2977" s="140">
        <v>44929</v>
      </c>
      <c r="B2977">
        <v>61294.2</v>
      </c>
      <c r="C2977">
        <v>560.75</v>
      </c>
      <c r="D2977">
        <v>2.0600000000000002E-3</v>
      </c>
      <c r="E2977">
        <v>-1.7799999999999999E-3</v>
      </c>
    </row>
    <row r="2978" spans="1:5" ht="14.25" customHeight="1">
      <c r="A2978" s="140">
        <v>44930</v>
      </c>
      <c r="B2978">
        <v>60657.45</v>
      </c>
      <c r="C2978">
        <v>559.35</v>
      </c>
      <c r="D2978">
        <v>-1.044E-2</v>
      </c>
      <c r="E2978">
        <v>-2.5000000000000001E-3</v>
      </c>
    </row>
    <row r="2979" spans="1:5" ht="14.25" customHeight="1">
      <c r="A2979" s="140">
        <v>44931</v>
      </c>
      <c r="B2979">
        <v>60353.27</v>
      </c>
      <c r="C2979">
        <v>572.85</v>
      </c>
      <c r="D2979">
        <v>-5.0299999999999997E-3</v>
      </c>
      <c r="E2979">
        <v>2.385E-2</v>
      </c>
    </row>
    <row r="2980" spans="1:5" ht="14.25" customHeight="1">
      <c r="A2980" s="140">
        <v>44932</v>
      </c>
      <c r="B2980">
        <v>59900.37</v>
      </c>
      <c r="C2980">
        <v>553</v>
      </c>
      <c r="D2980">
        <v>-7.5300000000000002E-3</v>
      </c>
      <c r="E2980">
        <v>-3.5270000000000003E-2</v>
      </c>
    </row>
    <row r="2981" spans="1:5" ht="14.25" customHeight="1">
      <c r="A2981" s="140">
        <v>44935</v>
      </c>
      <c r="B2981">
        <v>60747.31</v>
      </c>
      <c r="C2981">
        <v>549.6</v>
      </c>
      <c r="D2981">
        <v>1.404E-2</v>
      </c>
      <c r="E2981">
        <v>-6.1700000000000001E-3</v>
      </c>
    </row>
    <row r="2982" spans="1:5" ht="14.25" customHeight="1">
      <c r="A2982" s="140">
        <v>44936</v>
      </c>
      <c r="B2982">
        <v>60115.48</v>
      </c>
      <c r="C2982">
        <v>554.45000000000005</v>
      </c>
      <c r="D2982">
        <v>-1.0460000000000001E-2</v>
      </c>
      <c r="E2982">
        <v>8.7899999999999992E-3</v>
      </c>
    </row>
    <row r="2983" spans="1:5" ht="14.25" customHeight="1">
      <c r="A2983" s="140">
        <v>44937</v>
      </c>
      <c r="B2983">
        <v>60105.5</v>
      </c>
      <c r="C2983">
        <v>548.4</v>
      </c>
      <c r="D2983">
        <v>-1.7000000000000001E-4</v>
      </c>
      <c r="E2983">
        <v>-1.0970000000000001E-2</v>
      </c>
    </row>
    <row r="2984" spans="1:5" ht="14.25" customHeight="1">
      <c r="A2984" s="140">
        <v>44938</v>
      </c>
      <c r="B2984">
        <v>59958.03</v>
      </c>
      <c r="C2984">
        <v>545.04999999999995</v>
      </c>
      <c r="D2984">
        <v>-2.4599999999999999E-3</v>
      </c>
      <c r="E2984">
        <v>-6.13E-3</v>
      </c>
    </row>
    <row r="2985" spans="1:5" ht="14.25" customHeight="1">
      <c r="A2985" s="140">
        <v>44939</v>
      </c>
      <c r="B2985">
        <v>60261.18</v>
      </c>
      <c r="C2985">
        <v>544.1</v>
      </c>
      <c r="D2985">
        <v>5.0400000000000002E-3</v>
      </c>
      <c r="E2985">
        <v>-1.74E-3</v>
      </c>
    </row>
    <row r="2986" spans="1:5" ht="14.25" customHeight="1">
      <c r="A2986" s="140">
        <v>44942</v>
      </c>
      <c r="B2986">
        <v>60092.97</v>
      </c>
      <c r="C2986">
        <v>553.1</v>
      </c>
      <c r="D2986">
        <v>-2.8E-3</v>
      </c>
      <c r="E2986">
        <v>1.6410000000000001E-2</v>
      </c>
    </row>
    <row r="2987" spans="1:5" ht="14.25" customHeight="1">
      <c r="A2987" s="140">
        <v>44943</v>
      </c>
      <c r="B2987">
        <v>60655.72</v>
      </c>
      <c r="C2987">
        <v>556.85</v>
      </c>
      <c r="D2987">
        <v>9.3200000000000002E-3</v>
      </c>
      <c r="E2987">
        <v>6.7600000000000004E-3</v>
      </c>
    </row>
    <row r="2988" spans="1:5" ht="14.25" customHeight="1">
      <c r="A2988" s="140">
        <v>44944</v>
      </c>
      <c r="B2988">
        <v>61045.74</v>
      </c>
      <c r="C2988">
        <v>557.5</v>
      </c>
      <c r="D2988">
        <v>6.4099999999999999E-3</v>
      </c>
      <c r="E2988">
        <v>1.17E-3</v>
      </c>
    </row>
    <row r="2989" spans="1:5" ht="14.25" customHeight="1">
      <c r="A2989" s="140">
        <v>44945</v>
      </c>
      <c r="B2989">
        <v>60858.43</v>
      </c>
      <c r="C2989">
        <v>554.79999999999995</v>
      </c>
      <c r="D2989">
        <v>-3.0699999999999998E-3</v>
      </c>
      <c r="E2989">
        <v>-4.8500000000000001E-3</v>
      </c>
    </row>
    <row r="2990" spans="1:5" ht="14.25" customHeight="1">
      <c r="A2990" s="140">
        <v>44946</v>
      </c>
      <c r="B2990">
        <v>60621.77</v>
      </c>
      <c r="C2990">
        <v>566.20000000000005</v>
      </c>
      <c r="D2990">
        <v>-3.8999999999999998E-3</v>
      </c>
      <c r="E2990">
        <v>2.034E-2</v>
      </c>
    </row>
    <row r="2991" spans="1:5" ht="14.25" customHeight="1">
      <c r="A2991" s="140">
        <v>44949</v>
      </c>
      <c r="B2991">
        <v>60941.67</v>
      </c>
      <c r="C2991">
        <v>564.35</v>
      </c>
      <c r="D2991">
        <v>5.2599999999999999E-3</v>
      </c>
      <c r="E2991">
        <v>-3.2699999999999999E-3</v>
      </c>
    </row>
    <row r="2992" spans="1:5" ht="14.25" customHeight="1">
      <c r="A2992" s="140">
        <v>44950</v>
      </c>
      <c r="B2992">
        <v>60978.75</v>
      </c>
      <c r="C2992">
        <v>567.04999999999995</v>
      </c>
      <c r="D2992">
        <v>6.0999999999999997E-4</v>
      </c>
      <c r="E2992">
        <v>4.7699999999999999E-3</v>
      </c>
    </row>
    <row r="2993" spans="1:5" ht="14.25" customHeight="1">
      <c r="A2993" s="140">
        <v>44951</v>
      </c>
      <c r="B2993">
        <v>60205.06</v>
      </c>
      <c r="C2993">
        <v>563.15</v>
      </c>
      <c r="D2993">
        <v>-1.277E-2</v>
      </c>
      <c r="E2993">
        <v>-6.8999999999999999E-3</v>
      </c>
    </row>
    <row r="2994" spans="1:5" ht="14.25" customHeight="1">
      <c r="A2994" s="140">
        <v>44953</v>
      </c>
      <c r="B2994">
        <v>59330.9</v>
      </c>
      <c r="C2994">
        <v>562.9</v>
      </c>
      <c r="D2994">
        <v>-1.4630000000000001E-2</v>
      </c>
      <c r="E2994">
        <v>-4.4000000000000002E-4</v>
      </c>
    </row>
    <row r="2995" spans="1:5" ht="14.25" customHeight="1">
      <c r="A2995" s="140">
        <v>44956</v>
      </c>
      <c r="B2995">
        <v>59500.41</v>
      </c>
      <c r="C2995">
        <v>557.29999999999995</v>
      </c>
      <c r="D2995">
        <v>2.8500000000000001E-3</v>
      </c>
      <c r="E2995">
        <v>-0.01</v>
      </c>
    </row>
    <row r="2996" spans="1:5" ht="14.25" customHeight="1">
      <c r="A2996" s="140">
        <v>44957</v>
      </c>
      <c r="B2996">
        <v>59549.9</v>
      </c>
      <c r="C2996">
        <v>557.65</v>
      </c>
      <c r="D2996">
        <v>8.3000000000000001E-4</v>
      </c>
      <c r="E2996">
        <v>6.3000000000000003E-4</v>
      </c>
    </row>
    <row r="2997" spans="1:5" ht="14.25" customHeight="1">
      <c r="A2997" s="140">
        <v>44958</v>
      </c>
      <c r="B2997">
        <v>59708.08</v>
      </c>
      <c r="C2997">
        <v>561.65</v>
      </c>
      <c r="D2997">
        <v>2.65E-3</v>
      </c>
      <c r="E2997">
        <v>7.1500000000000001E-3</v>
      </c>
    </row>
    <row r="2998" spans="1:5" ht="14.25" customHeight="1">
      <c r="A2998" s="140">
        <v>44959</v>
      </c>
      <c r="B2998">
        <v>59932.24</v>
      </c>
      <c r="C2998">
        <v>553.9</v>
      </c>
      <c r="D2998">
        <v>3.7499999999999999E-3</v>
      </c>
      <c r="E2998">
        <v>-1.389E-2</v>
      </c>
    </row>
    <row r="2999" spans="1:5" ht="14.25" customHeight="1">
      <c r="A2999" s="140">
        <v>44960</v>
      </c>
      <c r="B2999">
        <v>60841.88</v>
      </c>
      <c r="C2999">
        <v>533.9</v>
      </c>
      <c r="D2999">
        <v>1.506E-2</v>
      </c>
      <c r="E2999">
        <v>-3.678E-2</v>
      </c>
    </row>
    <row r="3000" spans="1:5" ht="14.25" customHeight="1">
      <c r="A3000" s="140">
        <v>44963</v>
      </c>
      <c r="B3000">
        <v>60506.9</v>
      </c>
      <c r="C3000">
        <v>544.85</v>
      </c>
      <c r="D3000">
        <v>-5.5199999999999997E-3</v>
      </c>
      <c r="E3000">
        <v>2.0299999999999999E-2</v>
      </c>
    </row>
    <row r="3001" spans="1:5" ht="14.25" customHeight="1">
      <c r="A3001" s="140">
        <v>44964</v>
      </c>
      <c r="B3001">
        <v>60286.04</v>
      </c>
      <c r="C3001">
        <v>536</v>
      </c>
      <c r="D3001">
        <v>-3.6600000000000001E-3</v>
      </c>
      <c r="E3001">
        <v>-1.6379999999999999E-2</v>
      </c>
    </row>
    <row r="3002" spans="1:5" ht="14.25" customHeight="1">
      <c r="A3002" s="140">
        <v>44965</v>
      </c>
      <c r="B3002">
        <v>60663.79</v>
      </c>
      <c r="C3002">
        <v>534.04999999999995</v>
      </c>
      <c r="D3002">
        <v>6.2500000000000003E-3</v>
      </c>
      <c r="E3002">
        <v>-3.64E-3</v>
      </c>
    </row>
    <row r="3003" spans="1:5" ht="14.25" customHeight="1">
      <c r="A3003" s="140">
        <v>44966</v>
      </c>
      <c r="B3003">
        <v>60806.22</v>
      </c>
      <c r="C3003">
        <v>533.29999999999995</v>
      </c>
      <c r="D3003">
        <v>2.3500000000000001E-3</v>
      </c>
      <c r="E3003">
        <v>-1.41E-3</v>
      </c>
    </row>
    <row r="3004" spans="1:5" ht="14.25" customHeight="1">
      <c r="A3004" s="140">
        <v>44967</v>
      </c>
      <c r="B3004">
        <v>60682.7</v>
      </c>
      <c r="C3004">
        <v>532.15</v>
      </c>
      <c r="D3004">
        <v>-2.0300000000000001E-3</v>
      </c>
      <c r="E3004">
        <v>-2.16E-3</v>
      </c>
    </row>
    <row r="3005" spans="1:5" ht="14.25" customHeight="1">
      <c r="A3005" s="140">
        <v>44970</v>
      </c>
      <c r="B3005">
        <v>60431.839999999997</v>
      </c>
      <c r="C3005">
        <v>535.15</v>
      </c>
      <c r="D3005">
        <v>-4.1399999999999996E-3</v>
      </c>
      <c r="E3005">
        <v>5.62E-3</v>
      </c>
    </row>
    <row r="3006" spans="1:5" ht="14.25" customHeight="1">
      <c r="A3006" s="140">
        <v>44971</v>
      </c>
      <c r="B3006">
        <v>61032.26</v>
      </c>
      <c r="C3006">
        <v>529.79999999999995</v>
      </c>
      <c r="D3006">
        <v>9.8899999999999995E-3</v>
      </c>
      <c r="E3006">
        <v>-1.005E-2</v>
      </c>
    </row>
    <row r="3007" spans="1:5" ht="14.25" customHeight="1">
      <c r="A3007" s="140">
        <v>44972</v>
      </c>
      <c r="B3007">
        <v>61275.09</v>
      </c>
      <c r="C3007">
        <v>534.95000000000005</v>
      </c>
      <c r="D3007">
        <v>3.9699999999999996E-3</v>
      </c>
      <c r="E3007">
        <v>9.6699999999999998E-3</v>
      </c>
    </row>
    <row r="3008" spans="1:5" ht="14.25" customHeight="1">
      <c r="A3008" s="140">
        <v>44973</v>
      </c>
      <c r="B3008">
        <v>61319.51</v>
      </c>
      <c r="C3008">
        <v>535.54999999999995</v>
      </c>
      <c r="D3008">
        <v>7.2000000000000005E-4</v>
      </c>
      <c r="E3008">
        <v>1.1199999999999999E-3</v>
      </c>
    </row>
    <row r="3009" spans="1:5" ht="14.25" customHeight="1">
      <c r="A3009" s="140">
        <v>44974</v>
      </c>
      <c r="B3009">
        <v>61002.57</v>
      </c>
      <c r="C3009">
        <v>535.95000000000005</v>
      </c>
      <c r="D3009">
        <v>-5.1799999999999997E-3</v>
      </c>
      <c r="E3009">
        <v>7.5000000000000002E-4</v>
      </c>
    </row>
    <row r="3010" spans="1:5" ht="14.25" customHeight="1">
      <c r="A3010" s="140">
        <v>44977</v>
      </c>
      <c r="B3010">
        <v>60691.54</v>
      </c>
      <c r="C3010">
        <v>534.75</v>
      </c>
      <c r="D3010">
        <v>-5.11E-3</v>
      </c>
      <c r="E3010">
        <v>-2.2399999999999998E-3</v>
      </c>
    </row>
    <row r="3011" spans="1:5" ht="14.25" customHeight="1">
      <c r="A3011" s="140">
        <v>44978</v>
      </c>
      <c r="B3011">
        <v>60672.72</v>
      </c>
      <c r="C3011">
        <v>535.04999999999995</v>
      </c>
      <c r="D3011">
        <v>-3.1E-4</v>
      </c>
      <c r="E3011">
        <v>5.5999999999999995E-4</v>
      </c>
    </row>
    <row r="3012" spans="1:5" ht="14.25" customHeight="1">
      <c r="A3012" s="140">
        <v>44979</v>
      </c>
      <c r="B3012">
        <v>59744.98</v>
      </c>
      <c r="C3012">
        <v>533.15</v>
      </c>
      <c r="D3012">
        <v>-1.541E-2</v>
      </c>
      <c r="E3012">
        <v>-3.5599999999999998E-3</v>
      </c>
    </row>
    <row r="3013" spans="1:5" ht="14.25" customHeight="1">
      <c r="A3013" s="140">
        <v>44980</v>
      </c>
      <c r="B3013">
        <v>59605.8</v>
      </c>
      <c r="C3013">
        <v>539.65</v>
      </c>
      <c r="D3013">
        <v>-2.33E-3</v>
      </c>
      <c r="E3013">
        <v>1.2120000000000001E-2</v>
      </c>
    </row>
    <row r="3014" spans="1:5" ht="14.25" customHeight="1">
      <c r="A3014" s="140">
        <v>44981</v>
      </c>
      <c r="B3014">
        <v>59463.93</v>
      </c>
      <c r="C3014">
        <v>534.9</v>
      </c>
      <c r="D3014">
        <v>-2.3800000000000002E-3</v>
      </c>
      <c r="E3014">
        <v>-8.8400000000000006E-3</v>
      </c>
    </row>
    <row r="3015" spans="1:5" ht="14.25" customHeight="1">
      <c r="A3015" s="140">
        <v>44984</v>
      </c>
      <c r="B3015">
        <v>59288.35</v>
      </c>
      <c r="C3015">
        <v>526.15</v>
      </c>
      <c r="D3015">
        <v>-2.96E-3</v>
      </c>
      <c r="E3015">
        <v>-1.6490000000000001E-2</v>
      </c>
    </row>
    <row r="3016" spans="1:5" ht="14.25" customHeight="1">
      <c r="A3016" s="140">
        <v>44985</v>
      </c>
      <c r="B3016">
        <v>58962.12</v>
      </c>
      <c r="C3016">
        <v>533.04999999999995</v>
      </c>
      <c r="D3016">
        <v>-5.5199999999999997E-3</v>
      </c>
      <c r="E3016">
        <v>1.303E-2</v>
      </c>
    </row>
    <row r="3017" spans="1:5" ht="14.25" customHeight="1">
      <c r="A3017" s="140">
        <v>44986</v>
      </c>
      <c r="B3017">
        <v>59411.08</v>
      </c>
      <c r="C3017">
        <v>527.45000000000005</v>
      </c>
      <c r="D3017">
        <v>7.5900000000000004E-3</v>
      </c>
      <c r="E3017">
        <v>-1.056E-2</v>
      </c>
    </row>
    <row r="3018" spans="1:5" ht="14.25" customHeight="1">
      <c r="A3018" s="140">
        <v>44987</v>
      </c>
      <c r="B3018">
        <v>58909.35</v>
      </c>
      <c r="C3018">
        <v>530.15</v>
      </c>
      <c r="D3018">
        <v>-8.4799999999999997E-3</v>
      </c>
      <c r="E3018">
        <v>5.11E-3</v>
      </c>
    </row>
    <row r="3019" spans="1:5" ht="14.25" customHeight="1">
      <c r="A3019" s="140">
        <v>44988</v>
      </c>
      <c r="B3019">
        <v>59808.97</v>
      </c>
      <c r="C3019">
        <v>534.85</v>
      </c>
      <c r="D3019">
        <v>1.516E-2</v>
      </c>
      <c r="E3019">
        <v>8.8299999999999993E-3</v>
      </c>
    </row>
    <row r="3020" spans="1:5" ht="14.25" customHeight="1">
      <c r="A3020" s="140">
        <v>44991</v>
      </c>
      <c r="B3020">
        <v>60224.46</v>
      </c>
      <c r="C3020">
        <v>536.85</v>
      </c>
      <c r="D3020">
        <v>6.9199999999999999E-3</v>
      </c>
      <c r="E3020">
        <v>3.7299999999999998E-3</v>
      </c>
    </row>
    <row r="3021" spans="1:5" ht="14.25" customHeight="1">
      <c r="A3021" s="140">
        <v>44993</v>
      </c>
      <c r="B3021">
        <v>60348.09</v>
      </c>
      <c r="C3021">
        <v>531.95000000000005</v>
      </c>
      <c r="D3021">
        <v>2.0500000000000002E-3</v>
      </c>
      <c r="E3021">
        <v>-9.1699999999999993E-3</v>
      </c>
    </row>
    <row r="3022" spans="1:5" ht="14.25" customHeight="1">
      <c r="A3022" s="140">
        <v>44994</v>
      </c>
      <c r="B3022">
        <v>59806.28</v>
      </c>
      <c r="C3022">
        <v>526.85</v>
      </c>
      <c r="D3022">
        <v>-9.0200000000000002E-3</v>
      </c>
      <c r="E3022">
        <v>-9.6299999999999997E-3</v>
      </c>
    </row>
    <row r="3023" spans="1:5" ht="14.25" customHeight="1">
      <c r="A3023" s="140">
        <v>44995</v>
      </c>
      <c r="B3023">
        <v>59135.13</v>
      </c>
      <c r="C3023">
        <v>529.95000000000005</v>
      </c>
      <c r="D3023">
        <v>-1.129E-2</v>
      </c>
      <c r="E3023">
        <v>5.8700000000000002E-3</v>
      </c>
    </row>
    <row r="3024" spans="1:5" ht="14.25" customHeight="1">
      <c r="A3024" s="140">
        <v>44998</v>
      </c>
      <c r="B3024">
        <v>58237.85</v>
      </c>
      <c r="C3024">
        <v>523.4</v>
      </c>
      <c r="D3024">
        <v>-1.529E-2</v>
      </c>
      <c r="E3024">
        <v>-1.244E-2</v>
      </c>
    </row>
    <row r="3025" spans="1:5" ht="14.25" customHeight="1">
      <c r="A3025" s="140">
        <v>44999</v>
      </c>
      <c r="B3025">
        <v>57900.19</v>
      </c>
      <c r="C3025">
        <v>526.45000000000005</v>
      </c>
      <c r="D3025">
        <v>-5.8100000000000001E-3</v>
      </c>
      <c r="E3025">
        <v>5.8100000000000001E-3</v>
      </c>
    </row>
    <row r="3026" spans="1:5" ht="14.25" customHeight="1">
      <c r="A3026" s="140">
        <v>45000</v>
      </c>
      <c r="B3026">
        <v>57555.9</v>
      </c>
      <c r="C3026">
        <v>521.85</v>
      </c>
      <c r="D3026">
        <v>-5.96E-3</v>
      </c>
      <c r="E3026">
        <v>-8.7799999999999996E-3</v>
      </c>
    </row>
    <row r="3027" spans="1:5" ht="14.25" customHeight="1">
      <c r="A3027" s="140">
        <v>45001</v>
      </c>
      <c r="B3027">
        <v>57634.84</v>
      </c>
      <c r="C3027">
        <v>534.54999999999995</v>
      </c>
      <c r="D3027">
        <v>1.3699999999999999E-3</v>
      </c>
      <c r="E3027">
        <v>2.4049999999999998E-2</v>
      </c>
    </row>
    <row r="3028" spans="1:5" ht="14.25" customHeight="1">
      <c r="A3028" s="140">
        <v>45002</v>
      </c>
      <c r="B3028">
        <v>57989.9</v>
      </c>
      <c r="C3028">
        <v>535.85</v>
      </c>
      <c r="D3028">
        <v>6.1399999999999996E-3</v>
      </c>
      <c r="E3028">
        <v>2.4299999999999999E-3</v>
      </c>
    </row>
    <row r="3029" spans="1:5" ht="14.25" customHeight="1">
      <c r="A3029" s="140">
        <v>45005</v>
      </c>
      <c r="B3029">
        <v>57628.95</v>
      </c>
      <c r="C3029">
        <v>537.04999999999995</v>
      </c>
      <c r="D3029">
        <v>-6.2399999999999999E-3</v>
      </c>
      <c r="E3029">
        <v>2.2399999999999998E-3</v>
      </c>
    </row>
    <row r="3030" spans="1:5" ht="14.25" customHeight="1">
      <c r="A3030" s="140">
        <v>45006</v>
      </c>
      <c r="B3030">
        <v>58074.68</v>
      </c>
      <c r="C3030">
        <v>532.25</v>
      </c>
      <c r="D3030">
        <v>7.7000000000000002E-3</v>
      </c>
      <c r="E3030">
        <v>-8.9800000000000001E-3</v>
      </c>
    </row>
    <row r="3031" spans="1:5" ht="14.25" customHeight="1">
      <c r="A3031" s="140">
        <v>45007</v>
      </c>
      <c r="B3031">
        <v>58214.59</v>
      </c>
      <c r="C3031">
        <v>540.04999999999995</v>
      </c>
      <c r="D3031">
        <v>2.4099999999999998E-3</v>
      </c>
      <c r="E3031">
        <v>1.455E-2</v>
      </c>
    </row>
    <row r="3032" spans="1:5" ht="14.25" customHeight="1">
      <c r="A3032" s="140">
        <v>45008</v>
      </c>
      <c r="B3032">
        <v>57925.279999999999</v>
      </c>
      <c r="C3032">
        <v>539.25</v>
      </c>
      <c r="D3032">
        <v>-4.9800000000000001E-3</v>
      </c>
      <c r="E3032">
        <v>-1.48E-3</v>
      </c>
    </row>
    <row r="3033" spans="1:5" ht="14.25" customHeight="1">
      <c r="A3033" s="140">
        <v>45009</v>
      </c>
      <c r="B3033">
        <v>57527.1</v>
      </c>
      <c r="C3033">
        <v>536.25</v>
      </c>
      <c r="D3033">
        <v>-6.8999999999999999E-3</v>
      </c>
      <c r="E3033">
        <v>-5.5799999999999999E-3</v>
      </c>
    </row>
    <row r="3034" spans="1:5" ht="14.25" customHeight="1">
      <c r="A3034" s="140">
        <v>45012</v>
      </c>
      <c r="B3034">
        <v>57653.86</v>
      </c>
      <c r="C3034">
        <v>541.5</v>
      </c>
      <c r="D3034">
        <v>2.2000000000000001E-3</v>
      </c>
      <c r="E3034">
        <v>9.7400000000000004E-3</v>
      </c>
    </row>
    <row r="3035" spans="1:5" ht="14.25" customHeight="1">
      <c r="A3035" s="140">
        <v>45013</v>
      </c>
      <c r="B3035">
        <v>57613.72</v>
      </c>
      <c r="C3035">
        <v>533.6</v>
      </c>
      <c r="D3035">
        <v>-6.9999999999999999E-4</v>
      </c>
      <c r="E3035">
        <v>-1.47E-2</v>
      </c>
    </row>
    <row r="3036" spans="1:5" ht="14.25" customHeight="1">
      <c r="A3036" s="140">
        <v>45014</v>
      </c>
      <c r="B3036">
        <v>57960.09</v>
      </c>
      <c r="C3036">
        <v>535.6</v>
      </c>
      <c r="D3036">
        <v>5.9899999999999997E-3</v>
      </c>
      <c r="E3036">
        <v>3.7399999999999998E-3</v>
      </c>
    </row>
    <row r="3037" spans="1:5" ht="14.25" customHeight="1">
      <c r="A3037" s="140">
        <v>45016</v>
      </c>
      <c r="B3037">
        <v>58991.519999999997</v>
      </c>
      <c r="C3037">
        <v>545.1</v>
      </c>
      <c r="D3037">
        <v>1.7639999999999999E-2</v>
      </c>
      <c r="E3037">
        <v>1.7579999999999998E-2</v>
      </c>
    </row>
    <row r="3038" spans="1:5" ht="14.25" customHeight="1">
      <c r="A3038" s="140">
        <v>45019</v>
      </c>
      <c r="B3038">
        <v>59106.44</v>
      </c>
      <c r="C3038">
        <v>547.29999999999995</v>
      </c>
      <c r="D3038">
        <v>1.9499999999999999E-3</v>
      </c>
      <c r="E3038">
        <v>4.0299999999999997E-3</v>
      </c>
    </row>
    <row r="3039" spans="1:5" ht="14.25" customHeight="1">
      <c r="A3039" s="140">
        <v>45021</v>
      </c>
      <c r="B3039">
        <v>59689.31</v>
      </c>
      <c r="C3039">
        <v>547.95000000000005</v>
      </c>
      <c r="D3039">
        <v>9.8099999999999993E-3</v>
      </c>
      <c r="E3039">
        <v>1.1900000000000001E-3</v>
      </c>
    </row>
    <row r="3040" spans="1:5" ht="14.25" customHeight="1">
      <c r="A3040" s="140">
        <v>45022</v>
      </c>
      <c r="B3040">
        <v>59832.97</v>
      </c>
      <c r="C3040">
        <v>525.85</v>
      </c>
      <c r="D3040">
        <v>2.3999999999999998E-3</v>
      </c>
      <c r="E3040">
        <v>-4.1169999999999998E-2</v>
      </c>
    </row>
    <row r="3041" spans="1:5" ht="14.25" customHeight="1">
      <c r="A3041" s="140">
        <v>45026</v>
      </c>
      <c r="B3041">
        <v>59846.51</v>
      </c>
      <c r="C3041">
        <v>522.85</v>
      </c>
      <c r="D3041">
        <v>2.3000000000000001E-4</v>
      </c>
      <c r="E3041">
        <v>-5.7200000000000003E-3</v>
      </c>
    </row>
    <row r="3042" spans="1:5" ht="14.25" customHeight="1">
      <c r="A3042" s="140">
        <v>45027</v>
      </c>
      <c r="B3042">
        <v>60157.72</v>
      </c>
      <c r="C3042">
        <v>521.79999999999995</v>
      </c>
      <c r="D3042">
        <v>5.1900000000000002E-3</v>
      </c>
      <c r="E3042">
        <v>-2.0100000000000001E-3</v>
      </c>
    </row>
    <row r="3043" spans="1:5" ht="14.25" customHeight="1">
      <c r="A3043" s="140">
        <v>45028</v>
      </c>
      <c r="B3043">
        <v>60392.77</v>
      </c>
      <c r="C3043">
        <v>517.70000000000005</v>
      </c>
      <c r="D3043">
        <v>3.8999999999999998E-3</v>
      </c>
      <c r="E3043">
        <v>-7.8899999999999994E-3</v>
      </c>
    </row>
    <row r="3044" spans="1:5" ht="14.25" customHeight="1">
      <c r="A3044" s="140">
        <v>45029</v>
      </c>
      <c r="B3044">
        <v>60431</v>
      </c>
      <c r="C3044">
        <v>527.15</v>
      </c>
      <c r="D3044">
        <v>6.3000000000000003E-4</v>
      </c>
      <c r="E3044">
        <v>1.8089999999999998E-2</v>
      </c>
    </row>
    <row r="3045" spans="1:5" ht="14.25" customHeight="1">
      <c r="A3045" s="140">
        <v>45033</v>
      </c>
      <c r="B3045">
        <v>59910.75</v>
      </c>
      <c r="C3045">
        <v>524.6</v>
      </c>
      <c r="D3045">
        <v>-8.6499999999999997E-3</v>
      </c>
      <c r="E3045">
        <v>-4.8500000000000001E-3</v>
      </c>
    </row>
    <row r="3046" spans="1:5" ht="14.25" customHeight="1">
      <c r="A3046" s="140">
        <v>45034</v>
      </c>
      <c r="B3046">
        <v>59727.01</v>
      </c>
      <c r="C3046">
        <v>520.95000000000005</v>
      </c>
      <c r="D3046">
        <v>-3.0699999999999998E-3</v>
      </c>
      <c r="E3046">
        <v>-6.9800000000000001E-3</v>
      </c>
    </row>
    <row r="3047" spans="1:5" ht="14.25" customHeight="1">
      <c r="A3047" s="140">
        <v>45035</v>
      </c>
      <c r="B3047">
        <v>59567.8</v>
      </c>
      <c r="C3047">
        <v>520.20000000000005</v>
      </c>
      <c r="D3047">
        <v>-2.6700000000000001E-3</v>
      </c>
      <c r="E3047">
        <v>-1.4400000000000001E-3</v>
      </c>
    </row>
    <row r="3048" spans="1:5" ht="14.25" customHeight="1">
      <c r="A3048" s="140">
        <v>45036</v>
      </c>
      <c r="B3048">
        <v>59632.35</v>
      </c>
      <c r="C3048">
        <v>525.29999999999995</v>
      </c>
      <c r="D3048">
        <v>1.08E-3</v>
      </c>
      <c r="E3048">
        <v>9.7599999999999996E-3</v>
      </c>
    </row>
    <row r="3049" spans="1:5" ht="14.25" customHeight="1">
      <c r="A3049" s="140">
        <v>45037</v>
      </c>
      <c r="B3049">
        <v>59655.06</v>
      </c>
      <c r="C3049">
        <v>524.95000000000005</v>
      </c>
      <c r="D3049">
        <v>3.8000000000000002E-4</v>
      </c>
      <c r="E3049">
        <v>-6.7000000000000002E-4</v>
      </c>
    </row>
    <row r="3050" spans="1:5" ht="14.25" customHeight="1">
      <c r="A3050" s="140">
        <v>45040</v>
      </c>
      <c r="B3050">
        <v>60056.1</v>
      </c>
      <c r="C3050">
        <v>524.70000000000005</v>
      </c>
      <c r="D3050">
        <v>6.7000000000000002E-3</v>
      </c>
      <c r="E3050">
        <v>-4.8000000000000001E-4</v>
      </c>
    </row>
    <row r="3051" spans="1:5" ht="14.25" customHeight="1">
      <c r="A3051" s="140">
        <v>45041</v>
      </c>
      <c r="B3051">
        <v>60130.71</v>
      </c>
      <c r="C3051">
        <v>526.04999999999995</v>
      </c>
      <c r="D3051">
        <v>1.24E-3</v>
      </c>
      <c r="E3051">
        <v>2.5699999999999998E-3</v>
      </c>
    </row>
    <row r="3052" spans="1:5" ht="14.25" customHeight="1">
      <c r="A3052" s="140">
        <v>45042</v>
      </c>
      <c r="B3052">
        <v>60300.58</v>
      </c>
      <c r="C3052">
        <v>533.35</v>
      </c>
      <c r="D3052">
        <v>2.82E-3</v>
      </c>
      <c r="E3052">
        <v>1.3780000000000001E-2</v>
      </c>
    </row>
    <row r="3053" spans="1:5" ht="14.25" customHeight="1">
      <c r="A3053" s="140">
        <v>45043</v>
      </c>
      <c r="B3053">
        <v>60649.38</v>
      </c>
      <c r="C3053">
        <v>530.4</v>
      </c>
      <c r="D3053">
        <v>5.77E-3</v>
      </c>
      <c r="E3053">
        <v>-5.5500000000000002E-3</v>
      </c>
    </row>
    <row r="3054" spans="1:5" ht="14.25" customHeight="1">
      <c r="A3054" s="140">
        <v>45044</v>
      </c>
      <c r="B3054">
        <v>61112.44</v>
      </c>
      <c r="C3054">
        <v>532.85</v>
      </c>
      <c r="D3054">
        <v>7.6099999999999996E-3</v>
      </c>
      <c r="E3054">
        <v>4.6100000000000004E-3</v>
      </c>
    </row>
    <row r="3055" spans="1:5" ht="14.25" customHeight="1">
      <c r="A3055" s="140">
        <v>45048</v>
      </c>
      <c r="B3055">
        <v>61354.71</v>
      </c>
      <c r="C3055">
        <v>536.65</v>
      </c>
      <c r="D3055">
        <v>3.96E-3</v>
      </c>
      <c r="E3055">
        <v>7.11E-3</v>
      </c>
    </row>
    <row r="3056" spans="1:5" ht="14.25" customHeight="1">
      <c r="A3056" s="140">
        <v>45049</v>
      </c>
      <c r="B3056">
        <v>61193.3</v>
      </c>
      <c r="C3056">
        <v>537.9</v>
      </c>
      <c r="D3056">
        <v>-2.63E-3</v>
      </c>
      <c r="E3056">
        <v>2.33E-3</v>
      </c>
    </row>
    <row r="3057" spans="1:5" ht="14.25" customHeight="1">
      <c r="A3057" s="140">
        <v>45050</v>
      </c>
      <c r="B3057">
        <v>61749.25</v>
      </c>
      <c r="C3057">
        <v>530.5</v>
      </c>
      <c r="D3057">
        <v>9.0399999999999994E-3</v>
      </c>
      <c r="E3057">
        <v>-1.3849999999999999E-2</v>
      </c>
    </row>
    <row r="3058" spans="1:5" ht="14.25" customHeight="1">
      <c r="A3058" s="140">
        <v>45051</v>
      </c>
      <c r="B3058">
        <v>61054.29</v>
      </c>
      <c r="C3058">
        <v>505.2</v>
      </c>
      <c r="D3058">
        <v>-1.132E-2</v>
      </c>
      <c r="E3058">
        <v>-4.8869999999999997E-2</v>
      </c>
    </row>
    <row r="3059" spans="1:5" ht="14.25" customHeight="1">
      <c r="A3059" s="140">
        <v>45054</v>
      </c>
      <c r="B3059">
        <v>61764.25</v>
      </c>
      <c r="C3059">
        <v>513.9</v>
      </c>
      <c r="D3059">
        <v>1.1560000000000001E-2</v>
      </c>
      <c r="E3059">
        <v>1.7069999999999998E-2</v>
      </c>
    </row>
    <row r="3060" spans="1:5" ht="14.25" customHeight="1">
      <c r="A3060" s="140">
        <v>45055</v>
      </c>
      <c r="B3060">
        <v>61761.33</v>
      </c>
      <c r="C3060">
        <v>517.79999999999995</v>
      </c>
      <c r="D3060">
        <v>-5.0000000000000002E-5</v>
      </c>
      <c r="E3060">
        <v>7.5599999999999999E-3</v>
      </c>
    </row>
    <row r="3061" spans="1:5" ht="14.25" customHeight="1">
      <c r="A3061" s="140">
        <v>45056</v>
      </c>
      <c r="B3061">
        <v>61940.2</v>
      </c>
      <c r="C3061">
        <v>514.25</v>
      </c>
      <c r="D3061">
        <v>2.8900000000000002E-3</v>
      </c>
      <c r="E3061">
        <v>-6.8799999999999998E-3</v>
      </c>
    </row>
    <row r="3062" spans="1:5" ht="14.25" customHeight="1">
      <c r="A3062" s="140">
        <v>45057</v>
      </c>
      <c r="B3062">
        <v>61904.52</v>
      </c>
      <c r="C3062">
        <v>520.35</v>
      </c>
      <c r="D3062">
        <v>-5.8E-4</v>
      </c>
      <c r="E3062">
        <v>1.179E-2</v>
      </c>
    </row>
    <row r="3063" spans="1:5" ht="14.25" customHeight="1">
      <c r="A3063" s="140">
        <v>45058</v>
      </c>
      <c r="B3063">
        <v>62027.9</v>
      </c>
      <c r="C3063">
        <v>518.29999999999995</v>
      </c>
      <c r="D3063">
        <v>1.99E-3</v>
      </c>
      <c r="E3063">
        <v>-3.9500000000000004E-3</v>
      </c>
    </row>
    <row r="3064" spans="1:5" ht="14.25" customHeight="1">
      <c r="A3064" s="140">
        <v>45061</v>
      </c>
      <c r="B3064">
        <v>62345.71</v>
      </c>
      <c r="C3064">
        <v>533.15</v>
      </c>
      <c r="D3064">
        <v>5.11E-3</v>
      </c>
      <c r="E3064">
        <v>2.8250000000000001E-2</v>
      </c>
    </row>
    <row r="3065" spans="1:5" ht="14.25" customHeight="1">
      <c r="A3065" s="140">
        <v>45062</v>
      </c>
      <c r="B3065">
        <v>61932.47</v>
      </c>
      <c r="C3065">
        <v>530.75</v>
      </c>
      <c r="D3065">
        <v>-6.6499999999999997E-3</v>
      </c>
      <c r="E3065">
        <v>-4.5100000000000001E-3</v>
      </c>
    </row>
    <row r="3066" spans="1:5" ht="14.25" customHeight="1">
      <c r="A3066" s="140">
        <v>45063</v>
      </c>
      <c r="B3066">
        <v>61560.639999999999</v>
      </c>
      <c r="C3066">
        <v>523.70000000000005</v>
      </c>
      <c r="D3066">
        <v>-6.0200000000000002E-3</v>
      </c>
      <c r="E3066">
        <v>-1.337E-2</v>
      </c>
    </row>
    <row r="3067" spans="1:5" ht="14.25" customHeight="1">
      <c r="A3067" s="140">
        <v>45064</v>
      </c>
      <c r="B3067">
        <v>61431.74</v>
      </c>
      <c r="C3067">
        <v>522.85</v>
      </c>
      <c r="D3067">
        <v>-2.0999999999999999E-3</v>
      </c>
      <c r="E3067">
        <v>-1.6199999999999999E-3</v>
      </c>
    </row>
    <row r="3068" spans="1:5" ht="14.25" customHeight="1">
      <c r="A3068" s="140">
        <v>45065</v>
      </c>
      <c r="B3068">
        <v>61729.68</v>
      </c>
      <c r="C3068">
        <v>519.15</v>
      </c>
      <c r="D3068">
        <v>4.8399999999999997E-3</v>
      </c>
      <c r="E3068">
        <v>-7.1000000000000004E-3</v>
      </c>
    </row>
    <row r="3069" spans="1:5" ht="14.25" customHeight="1">
      <c r="A3069" s="140">
        <v>45068</v>
      </c>
      <c r="B3069">
        <v>61963.68</v>
      </c>
      <c r="C3069">
        <v>522.5</v>
      </c>
      <c r="D3069">
        <v>3.7799999999999999E-3</v>
      </c>
      <c r="E3069">
        <v>6.43E-3</v>
      </c>
    </row>
    <row r="3070" spans="1:5" ht="14.25" customHeight="1">
      <c r="A3070" s="140">
        <v>45069</v>
      </c>
      <c r="B3070">
        <v>61981.79</v>
      </c>
      <c r="C3070">
        <v>525.75</v>
      </c>
      <c r="D3070">
        <v>2.9E-4</v>
      </c>
      <c r="E3070">
        <v>6.1999999999999998E-3</v>
      </c>
    </row>
    <row r="3071" spans="1:5" ht="14.25" customHeight="1">
      <c r="A3071" s="140">
        <v>45070</v>
      </c>
      <c r="B3071">
        <v>61773.78</v>
      </c>
      <c r="C3071">
        <v>527.25</v>
      </c>
      <c r="D3071">
        <v>-3.3600000000000001E-3</v>
      </c>
      <c r="E3071">
        <v>2.8500000000000001E-3</v>
      </c>
    </row>
    <row r="3072" spans="1:5" ht="14.25" customHeight="1">
      <c r="A3072" s="140">
        <v>45071</v>
      </c>
      <c r="B3072">
        <v>61872.62</v>
      </c>
      <c r="C3072">
        <v>530.04999999999995</v>
      </c>
      <c r="D3072">
        <v>1.6000000000000001E-3</v>
      </c>
      <c r="E3072">
        <v>5.3E-3</v>
      </c>
    </row>
    <row r="3073" spans="1:5" ht="14.25" customHeight="1">
      <c r="A3073" s="140">
        <v>45072</v>
      </c>
      <c r="B3073">
        <v>62501.69</v>
      </c>
      <c r="C3073">
        <v>541.95000000000005</v>
      </c>
      <c r="D3073">
        <v>1.0120000000000001E-2</v>
      </c>
      <c r="E3073">
        <v>2.2200000000000001E-2</v>
      </c>
    </row>
    <row r="3074" spans="1:5" ht="14.25" customHeight="1">
      <c r="A3074" s="140">
        <v>45075</v>
      </c>
      <c r="B3074">
        <v>62846.38</v>
      </c>
      <c r="C3074">
        <v>548.4</v>
      </c>
      <c r="D3074">
        <v>5.4999999999999997E-3</v>
      </c>
      <c r="E3074">
        <v>1.183E-2</v>
      </c>
    </row>
    <row r="3075" spans="1:5" ht="14.25" customHeight="1">
      <c r="A3075" s="140">
        <v>45076</v>
      </c>
      <c r="B3075">
        <v>62969.13</v>
      </c>
      <c r="C3075">
        <v>549.54999999999995</v>
      </c>
      <c r="D3075">
        <v>1.9499999999999999E-3</v>
      </c>
      <c r="E3075">
        <v>2.0899999999999998E-3</v>
      </c>
    </row>
    <row r="3076" spans="1:5" ht="14.25" customHeight="1">
      <c r="A3076" s="140">
        <v>45077</v>
      </c>
      <c r="B3076">
        <v>62622.239999999998</v>
      </c>
      <c r="C3076">
        <v>554.6</v>
      </c>
      <c r="D3076">
        <v>-5.5199999999999997E-3</v>
      </c>
      <c r="E3076">
        <v>9.1500000000000001E-3</v>
      </c>
    </row>
    <row r="3077" spans="1:5" ht="14.25" customHeight="1">
      <c r="A3077" s="140">
        <v>45078</v>
      </c>
      <c r="B3077">
        <v>62428.54</v>
      </c>
      <c r="C3077">
        <v>556.29999999999995</v>
      </c>
      <c r="D3077">
        <v>-3.0999999999999999E-3</v>
      </c>
      <c r="E3077">
        <v>3.0599999999999998E-3</v>
      </c>
    </row>
    <row r="3078" spans="1:5" ht="14.25" customHeight="1">
      <c r="A3078" s="140">
        <v>45079</v>
      </c>
      <c r="B3078">
        <v>62547.11</v>
      </c>
      <c r="C3078">
        <v>557.20000000000005</v>
      </c>
      <c r="D3078">
        <v>1.9E-3</v>
      </c>
      <c r="E3078">
        <v>1.6199999999999999E-3</v>
      </c>
    </row>
    <row r="3079" spans="1:5" ht="14.25" customHeight="1">
      <c r="A3079" s="140">
        <v>45082</v>
      </c>
      <c r="B3079">
        <v>62787.47</v>
      </c>
      <c r="C3079">
        <v>552.25</v>
      </c>
      <c r="D3079">
        <v>3.8400000000000001E-3</v>
      </c>
      <c r="E3079">
        <v>-8.9200000000000008E-3</v>
      </c>
    </row>
    <row r="3080" spans="1:5" ht="14.25" customHeight="1">
      <c r="A3080" s="140">
        <v>45083</v>
      </c>
      <c r="B3080">
        <v>62792.88</v>
      </c>
      <c r="C3080">
        <v>547.20000000000005</v>
      </c>
      <c r="D3080">
        <v>9.0000000000000006E-5</v>
      </c>
      <c r="E3080">
        <v>-9.1900000000000003E-3</v>
      </c>
    </row>
    <row r="3081" spans="1:5" ht="14.25" customHeight="1">
      <c r="A3081" s="140">
        <v>45084</v>
      </c>
      <c r="B3081">
        <v>63142.96</v>
      </c>
      <c r="C3081">
        <v>556.15</v>
      </c>
      <c r="D3081">
        <v>5.5599999999999998E-3</v>
      </c>
      <c r="E3081">
        <v>1.6219999999999998E-2</v>
      </c>
    </row>
    <row r="3082" spans="1:5" ht="14.25" customHeight="1">
      <c r="A3082" s="140">
        <v>45085</v>
      </c>
      <c r="B3082">
        <v>62848.639999999999</v>
      </c>
      <c r="C3082">
        <v>552.20000000000005</v>
      </c>
      <c r="D3082">
        <v>-4.6699999999999997E-3</v>
      </c>
      <c r="E3082">
        <v>-7.1300000000000001E-3</v>
      </c>
    </row>
    <row r="3083" spans="1:5" ht="14.25" customHeight="1">
      <c r="A3083" s="140">
        <v>45086</v>
      </c>
      <c r="B3083">
        <v>62625.63</v>
      </c>
      <c r="C3083">
        <v>550.20000000000005</v>
      </c>
      <c r="D3083">
        <v>-3.5500000000000002E-3</v>
      </c>
      <c r="E3083">
        <v>-3.63E-3</v>
      </c>
    </row>
    <row r="3084" spans="1:5" ht="14.25" customHeight="1">
      <c r="A3084" s="140">
        <v>45089</v>
      </c>
      <c r="B3084">
        <v>62724.71</v>
      </c>
      <c r="C3084">
        <v>553.29999999999995</v>
      </c>
      <c r="D3084">
        <v>1.58E-3</v>
      </c>
      <c r="E3084">
        <v>5.62E-3</v>
      </c>
    </row>
    <row r="3085" spans="1:5" ht="14.25" customHeight="1">
      <c r="A3085" s="140">
        <v>45090</v>
      </c>
      <c r="B3085">
        <v>63143.16</v>
      </c>
      <c r="C3085">
        <v>560.25</v>
      </c>
      <c r="D3085">
        <v>6.6499999999999997E-3</v>
      </c>
      <c r="E3085">
        <v>1.248E-2</v>
      </c>
    </row>
    <row r="3086" spans="1:5" ht="14.25" customHeight="1">
      <c r="A3086" s="140">
        <v>45091</v>
      </c>
      <c r="B3086">
        <v>63228.51</v>
      </c>
      <c r="C3086">
        <v>562.1</v>
      </c>
      <c r="D3086">
        <v>1.3500000000000001E-3</v>
      </c>
      <c r="E3086">
        <v>3.3E-3</v>
      </c>
    </row>
    <row r="3087" spans="1:5" ht="14.25" customHeight="1">
      <c r="A3087" s="140">
        <v>45092</v>
      </c>
      <c r="B3087">
        <v>62917.63</v>
      </c>
      <c r="C3087">
        <v>569.1</v>
      </c>
      <c r="D3087">
        <v>-4.9300000000000004E-3</v>
      </c>
      <c r="E3087">
        <v>1.238E-2</v>
      </c>
    </row>
    <row r="3088" spans="1:5" ht="14.25" customHeight="1">
      <c r="A3088" s="140">
        <v>45093</v>
      </c>
      <c r="B3088">
        <v>63384.58</v>
      </c>
      <c r="C3088">
        <v>570.79999999999995</v>
      </c>
      <c r="D3088">
        <v>7.3899999999999999E-3</v>
      </c>
      <c r="E3088">
        <v>2.98E-3</v>
      </c>
    </row>
    <row r="3089" spans="1:5" ht="14.25" customHeight="1">
      <c r="A3089" s="140">
        <v>45096</v>
      </c>
      <c r="B3089">
        <v>63168.3</v>
      </c>
      <c r="C3089">
        <v>569.20000000000005</v>
      </c>
      <c r="D3089">
        <v>-3.4199999999999999E-3</v>
      </c>
      <c r="E3089">
        <v>-2.81E-3</v>
      </c>
    </row>
    <row r="3090" spans="1:5" ht="14.25" customHeight="1">
      <c r="A3090" s="140">
        <v>45097</v>
      </c>
      <c r="B3090">
        <v>63327.7</v>
      </c>
      <c r="C3090">
        <v>571.79999999999995</v>
      </c>
      <c r="D3090">
        <v>2.5200000000000001E-3</v>
      </c>
      <c r="E3090">
        <v>4.5599999999999998E-3</v>
      </c>
    </row>
    <row r="3091" spans="1:5" ht="14.25" customHeight="1">
      <c r="A3091" s="140">
        <v>45098</v>
      </c>
      <c r="B3091">
        <v>63523.15</v>
      </c>
      <c r="C3091">
        <v>566.95000000000005</v>
      </c>
      <c r="D3091">
        <v>3.0799999999999998E-3</v>
      </c>
      <c r="E3091">
        <v>-8.5199999999999998E-3</v>
      </c>
    </row>
    <row r="3092" spans="1:5" ht="14.25" customHeight="1">
      <c r="A3092" s="140">
        <v>45099</v>
      </c>
      <c r="B3092">
        <v>63238.89</v>
      </c>
      <c r="C3092">
        <v>562.1</v>
      </c>
      <c r="D3092">
        <v>-4.4799999999999996E-3</v>
      </c>
      <c r="E3092">
        <v>-8.5900000000000004E-3</v>
      </c>
    </row>
    <row r="3093" spans="1:5" ht="14.25" customHeight="1">
      <c r="A3093" s="140">
        <v>45100</v>
      </c>
      <c r="B3093">
        <v>62979.37</v>
      </c>
      <c r="C3093">
        <v>563.1</v>
      </c>
      <c r="D3093">
        <v>-4.1099999999999999E-3</v>
      </c>
      <c r="E3093">
        <v>1.7799999999999999E-3</v>
      </c>
    </row>
    <row r="3094" spans="1:5" ht="14.25" customHeight="1">
      <c r="A3094" s="140">
        <v>45103</v>
      </c>
      <c r="B3094">
        <v>62970</v>
      </c>
      <c r="C3094">
        <v>569.20000000000005</v>
      </c>
      <c r="D3094">
        <v>-1.4999999999999999E-4</v>
      </c>
      <c r="E3094">
        <v>1.077E-2</v>
      </c>
    </row>
    <row r="3095" spans="1:5" ht="14.25" customHeight="1">
      <c r="A3095" s="140">
        <v>45104</v>
      </c>
      <c r="B3095">
        <v>63416.03</v>
      </c>
      <c r="C3095">
        <v>570.29999999999995</v>
      </c>
      <c r="D3095">
        <v>7.0600000000000003E-3</v>
      </c>
      <c r="E3095">
        <v>1.9300000000000001E-3</v>
      </c>
    </row>
    <row r="3096" spans="1:5" ht="14.25" customHeight="1">
      <c r="A3096" s="140">
        <v>45105</v>
      </c>
      <c r="B3096">
        <v>63915.42</v>
      </c>
      <c r="C3096">
        <v>574.4</v>
      </c>
      <c r="D3096">
        <v>7.8399999999999997E-3</v>
      </c>
      <c r="E3096">
        <v>7.1599999999999997E-3</v>
      </c>
    </row>
    <row r="3097" spans="1:5" ht="14.25" customHeight="1">
      <c r="A3097" s="140">
        <v>45107</v>
      </c>
      <c r="B3097">
        <v>64718.559999999998</v>
      </c>
      <c r="C3097">
        <v>572.9</v>
      </c>
      <c r="D3097">
        <v>1.2489999999999999E-2</v>
      </c>
      <c r="E3097">
        <v>-2.6099999999999999E-3</v>
      </c>
    </row>
    <row r="3098" spans="1:5" ht="14.25" customHeight="1">
      <c r="A3098" s="140">
        <v>45110</v>
      </c>
      <c r="B3098">
        <v>65205.05</v>
      </c>
      <c r="C3098">
        <v>582.25</v>
      </c>
      <c r="D3098">
        <v>7.4900000000000001E-3</v>
      </c>
      <c r="E3098">
        <v>1.619E-2</v>
      </c>
    </row>
    <row r="3099" spans="1:5" ht="14.25" customHeight="1">
      <c r="A3099" s="140">
        <v>45111</v>
      </c>
      <c r="B3099">
        <v>65479.05</v>
      </c>
      <c r="C3099">
        <v>579.54999999999995</v>
      </c>
      <c r="D3099">
        <v>4.1900000000000001E-3</v>
      </c>
      <c r="E3099">
        <v>-4.6499999999999996E-3</v>
      </c>
    </row>
    <row r="3100" spans="1:5" ht="14.25" customHeight="1">
      <c r="A3100" s="140">
        <v>45112</v>
      </c>
      <c r="B3100">
        <v>65446.04</v>
      </c>
      <c r="C3100">
        <v>592.45000000000005</v>
      </c>
      <c r="D3100">
        <v>-5.0000000000000001E-4</v>
      </c>
      <c r="E3100">
        <v>2.2009999999999998E-2</v>
      </c>
    </row>
    <row r="3101" spans="1:5" ht="14.25" customHeight="1">
      <c r="A3101" s="140">
        <v>45113</v>
      </c>
      <c r="B3101">
        <v>65785.64</v>
      </c>
      <c r="C3101">
        <v>591.65</v>
      </c>
      <c r="D3101">
        <v>5.1799999999999997E-3</v>
      </c>
      <c r="E3101">
        <v>-1.3500000000000001E-3</v>
      </c>
    </row>
    <row r="3102" spans="1:5" ht="14.25" customHeight="1">
      <c r="A3102" s="140">
        <v>45114</v>
      </c>
      <c r="B3102">
        <v>65280.45</v>
      </c>
      <c r="C3102">
        <v>572.25</v>
      </c>
      <c r="D3102">
        <v>-7.7099999999999998E-3</v>
      </c>
      <c r="E3102">
        <v>-3.3340000000000002E-2</v>
      </c>
    </row>
    <row r="3103" spans="1:5" ht="14.25" customHeight="1">
      <c r="A3103" s="140">
        <v>45117</v>
      </c>
      <c r="B3103">
        <v>65344.17</v>
      </c>
      <c r="C3103">
        <v>572.70000000000005</v>
      </c>
      <c r="D3103">
        <v>9.7999999999999997E-4</v>
      </c>
      <c r="E3103">
        <v>7.9000000000000001E-4</v>
      </c>
    </row>
    <row r="3104" spans="1:5" ht="14.25" customHeight="1">
      <c r="A3104" s="140">
        <v>45118</v>
      </c>
      <c r="B3104">
        <v>65617.84</v>
      </c>
      <c r="C3104">
        <v>581.35</v>
      </c>
      <c r="D3104">
        <v>4.1799999999999997E-3</v>
      </c>
      <c r="E3104">
        <v>1.499E-2</v>
      </c>
    </row>
    <row r="3105" spans="1:5" ht="14.25" customHeight="1">
      <c r="A3105" s="140">
        <v>45119</v>
      </c>
      <c r="B3105">
        <v>65393.9</v>
      </c>
      <c r="C3105">
        <v>584.15</v>
      </c>
      <c r="D3105">
        <v>-3.4199999999999999E-3</v>
      </c>
      <c r="E3105">
        <v>4.7999999999999996E-3</v>
      </c>
    </row>
    <row r="3106" spans="1:5" ht="14.25" customHeight="1">
      <c r="A3106" s="140">
        <v>45120</v>
      </c>
      <c r="B3106">
        <v>65558.89</v>
      </c>
      <c r="C3106">
        <v>577.5</v>
      </c>
      <c r="D3106">
        <v>2.5200000000000001E-3</v>
      </c>
      <c r="E3106">
        <v>-1.145E-2</v>
      </c>
    </row>
    <row r="3107" spans="1:5" ht="14.25" customHeight="1">
      <c r="A3107" s="140">
        <v>45121</v>
      </c>
      <c r="B3107">
        <v>66060.899999999994</v>
      </c>
      <c r="C3107">
        <v>586.70000000000005</v>
      </c>
      <c r="D3107">
        <v>7.6299999999999996E-3</v>
      </c>
      <c r="E3107">
        <v>1.5810000000000001E-2</v>
      </c>
    </row>
    <row r="3108" spans="1:5" ht="14.25" customHeight="1">
      <c r="A3108" s="140">
        <v>45124</v>
      </c>
      <c r="B3108">
        <v>66589.929999999993</v>
      </c>
      <c r="C3108">
        <v>582.20000000000005</v>
      </c>
      <c r="D3108">
        <v>7.9799999999999992E-3</v>
      </c>
      <c r="E3108">
        <v>-7.7000000000000002E-3</v>
      </c>
    </row>
    <row r="3109" spans="1:5" ht="14.25" customHeight="1">
      <c r="A3109" s="140">
        <v>45125</v>
      </c>
      <c r="B3109">
        <v>66795.14</v>
      </c>
      <c r="C3109">
        <v>576.54999999999995</v>
      </c>
      <c r="D3109">
        <v>3.0799999999999998E-3</v>
      </c>
      <c r="E3109">
        <v>-9.75E-3</v>
      </c>
    </row>
    <row r="3110" spans="1:5" ht="14.25" customHeight="1">
      <c r="A3110" s="140">
        <v>45126</v>
      </c>
      <c r="B3110">
        <v>67097.440000000002</v>
      </c>
      <c r="C3110">
        <v>574.85</v>
      </c>
      <c r="D3110">
        <v>4.5199999999999997E-3</v>
      </c>
      <c r="E3110">
        <v>-2.9499999999999999E-3</v>
      </c>
    </row>
    <row r="3111" spans="1:5" ht="14.25" customHeight="1">
      <c r="A3111" s="140">
        <v>45127</v>
      </c>
      <c r="B3111">
        <v>67571.899999999994</v>
      </c>
      <c r="C3111">
        <v>578.29999999999995</v>
      </c>
      <c r="D3111">
        <v>7.0499999999999998E-3</v>
      </c>
      <c r="E3111">
        <v>5.9800000000000001E-3</v>
      </c>
    </row>
    <row r="3112" spans="1:5" ht="14.25" customHeight="1">
      <c r="A3112" s="140">
        <v>45128</v>
      </c>
      <c r="B3112">
        <v>66684.259999999995</v>
      </c>
      <c r="C3112">
        <v>565.35</v>
      </c>
      <c r="D3112">
        <v>-1.3220000000000001E-2</v>
      </c>
      <c r="E3112">
        <v>-2.265E-2</v>
      </c>
    </row>
    <row r="3113" spans="1:5" ht="14.25" customHeight="1">
      <c r="A3113" s="140">
        <v>45131</v>
      </c>
      <c r="B3113">
        <v>66384.78</v>
      </c>
      <c r="C3113">
        <v>564.95000000000005</v>
      </c>
      <c r="D3113">
        <v>-4.4999999999999997E-3</v>
      </c>
      <c r="E3113">
        <v>-7.1000000000000002E-4</v>
      </c>
    </row>
    <row r="3114" spans="1:5" ht="14.25" customHeight="1">
      <c r="A3114" s="140">
        <v>45132</v>
      </c>
      <c r="B3114">
        <v>66355.710000000006</v>
      </c>
      <c r="C3114">
        <v>568.4</v>
      </c>
      <c r="D3114">
        <v>-4.4000000000000002E-4</v>
      </c>
      <c r="E3114">
        <v>6.0899999999999999E-3</v>
      </c>
    </row>
    <row r="3115" spans="1:5" ht="14.25" customHeight="1">
      <c r="A3115" s="140">
        <v>45133</v>
      </c>
      <c r="B3115">
        <v>66707.199999999997</v>
      </c>
      <c r="C3115">
        <v>574.85</v>
      </c>
      <c r="D3115">
        <v>5.28E-3</v>
      </c>
      <c r="E3115">
        <v>1.128E-2</v>
      </c>
    </row>
    <row r="3116" spans="1:5" ht="14.25" customHeight="1">
      <c r="A3116" s="140">
        <v>45134</v>
      </c>
      <c r="B3116">
        <v>66266.820000000007</v>
      </c>
      <c r="C3116">
        <v>573.04999999999995</v>
      </c>
      <c r="D3116">
        <v>-6.62E-3</v>
      </c>
      <c r="E3116">
        <v>-3.14E-3</v>
      </c>
    </row>
    <row r="3117" spans="1:5" ht="14.25" customHeight="1">
      <c r="A3117" s="140">
        <v>45135</v>
      </c>
      <c r="B3117">
        <v>66160.2</v>
      </c>
      <c r="C3117">
        <v>581.95000000000005</v>
      </c>
      <c r="D3117">
        <v>-1.6100000000000001E-3</v>
      </c>
      <c r="E3117">
        <v>1.541E-2</v>
      </c>
    </row>
    <row r="3118" spans="1:5" ht="14.25" customHeight="1">
      <c r="A3118" s="140">
        <v>45138</v>
      </c>
      <c r="B3118">
        <v>66527.67</v>
      </c>
      <c r="C3118">
        <v>575.54999999999995</v>
      </c>
      <c r="D3118">
        <v>5.5399999999999998E-3</v>
      </c>
      <c r="E3118">
        <v>-1.106E-2</v>
      </c>
    </row>
    <row r="3119" spans="1:5" ht="14.25" customHeight="1">
      <c r="A3119" s="140">
        <v>45139</v>
      </c>
      <c r="B3119">
        <v>66459.31</v>
      </c>
      <c r="C3119">
        <v>569.04999999999995</v>
      </c>
      <c r="D3119">
        <v>-1.0300000000000001E-3</v>
      </c>
      <c r="E3119">
        <v>-1.136E-2</v>
      </c>
    </row>
    <row r="3120" spans="1:5" ht="14.25" customHeight="1">
      <c r="A3120" s="140">
        <v>45140</v>
      </c>
      <c r="B3120">
        <v>65782.78</v>
      </c>
      <c r="C3120">
        <v>565.65</v>
      </c>
      <c r="D3120">
        <v>-1.023E-2</v>
      </c>
      <c r="E3120">
        <v>-5.9899999999999997E-3</v>
      </c>
    </row>
    <row r="3121" spans="1:5" ht="14.25" customHeight="1">
      <c r="A3121" s="140">
        <v>45141</v>
      </c>
      <c r="B3121">
        <v>65240.68</v>
      </c>
      <c r="C3121">
        <v>554.70000000000005</v>
      </c>
      <c r="D3121">
        <v>-8.2699999999999996E-3</v>
      </c>
      <c r="E3121">
        <v>-1.9550000000000001E-2</v>
      </c>
    </row>
    <row r="3122" spans="1:5" ht="14.25" customHeight="1">
      <c r="A3122" s="140">
        <v>45142</v>
      </c>
      <c r="B3122">
        <v>65721.25</v>
      </c>
      <c r="C3122">
        <v>569.65</v>
      </c>
      <c r="D3122">
        <v>7.3400000000000002E-3</v>
      </c>
      <c r="E3122">
        <v>2.6589999999999999E-2</v>
      </c>
    </row>
    <row r="3123" spans="1:5" ht="14.25" customHeight="1">
      <c r="A3123" s="140">
        <v>45145</v>
      </c>
      <c r="B3123">
        <v>65953.48</v>
      </c>
      <c r="C3123">
        <v>565.29999999999995</v>
      </c>
      <c r="D3123">
        <v>3.5300000000000002E-3</v>
      </c>
      <c r="E3123">
        <v>-7.6699999999999997E-3</v>
      </c>
    </row>
    <row r="3124" spans="1:5" ht="14.25" customHeight="1">
      <c r="A3124" s="140">
        <v>45146</v>
      </c>
      <c r="B3124">
        <v>65846.5</v>
      </c>
      <c r="C3124">
        <v>562.29999999999995</v>
      </c>
      <c r="D3124">
        <v>-1.6199999999999999E-3</v>
      </c>
      <c r="E3124">
        <v>-5.3200000000000001E-3</v>
      </c>
    </row>
    <row r="3125" spans="1:5" ht="14.25" customHeight="1">
      <c r="A3125" s="140">
        <v>45147</v>
      </c>
      <c r="B3125">
        <v>65995.81</v>
      </c>
      <c r="C3125">
        <v>572.15</v>
      </c>
      <c r="D3125">
        <v>2.2599999999999999E-3</v>
      </c>
      <c r="E3125">
        <v>1.737E-2</v>
      </c>
    </row>
    <row r="3126" spans="1:5" ht="14.25" customHeight="1">
      <c r="A3126" s="140">
        <v>45148</v>
      </c>
      <c r="B3126">
        <v>65688.179999999993</v>
      </c>
      <c r="C3126">
        <v>571.5</v>
      </c>
      <c r="D3126">
        <v>-4.6699999999999997E-3</v>
      </c>
      <c r="E3126">
        <v>-1.14E-3</v>
      </c>
    </row>
    <row r="3127" spans="1:5" ht="14.25" customHeight="1">
      <c r="A3127" s="140">
        <v>45149</v>
      </c>
      <c r="B3127">
        <v>65322.65</v>
      </c>
      <c r="C3127">
        <v>563.29999999999995</v>
      </c>
      <c r="D3127">
        <v>-5.5799999999999999E-3</v>
      </c>
      <c r="E3127">
        <v>-1.4449999999999999E-2</v>
      </c>
    </row>
    <row r="3128" spans="1:5" ht="14.25" customHeight="1">
      <c r="A3128" s="140">
        <v>45152</v>
      </c>
      <c r="B3128">
        <v>65401.919999999998</v>
      </c>
      <c r="C3128">
        <v>565.1</v>
      </c>
      <c r="D3128">
        <v>1.2099999999999999E-3</v>
      </c>
      <c r="E3128">
        <v>3.1900000000000001E-3</v>
      </c>
    </row>
    <row r="3129" spans="1:5" ht="14.25" customHeight="1">
      <c r="A3129" s="140">
        <v>45154</v>
      </c>
      <c r="B3129">
        <v>65539.42</v>
      </c>
      <c r="C3129">
        <v>565.20000000000005</v>
      </c>
      <c r="D3129">
        <v>2.0999999999999999E-3</v>
      </c>
      <c r="E3129">
        <v>1.8000000000000001E-4</v>
      </c>
    </row>
    <row r="3130" spans="1:5" ht="14.25" customHeight="1">
      <c r="A3130" s="140">
        <v>45155</v>
      </c>
      <c r="B3130">
        <v>65151.02</v>
      </c>
      <c r="C3130">
        <v>561.4</v>
      </c>
      <c r="D3130">
        <v>-5.94E-3</v>
      </c>
      <c r="E3130">
        <v>-6.7499999999999999E-3</v>
      </c>
    </row>
    <row r="3131" spans="1:5" ht="14.25" customHeight="1">
      <c r="A3131" s="140">
        <v>45156</v>
      </c>
      <c r="B3131">
        <v>64948.66</v>
      </c>
      <c r="C3131">
        <v>565.5</v>
      </c>
      <c r="D3131">
        <v>-3.1099999999999999E-3</v>
      </c>
      <c r="E3131">
        <v>7.28E-3</v>
      </c>
    </row>
    <row r="3132" spans="1:5" ht="14.25" customHeight="1">
      <c r="A3132" s="140">
        <v>45159</v>
      </c>
      <c r="B3132">
        <v>65216.09</v>
      </c>
      <c r="C3132">
        <v>567.6</v>
      </c>
      <c r="D3132">
        <v>4.1099999999999999E-3</v>
      </c>
      <c r="E3132">
        <v>3.7100000000000002E-3</v>
      </c>
    </row>
    <row r="3133" spans="1:5" ht="14.25" customHeight="1">
      <c r="A3133" s="140">
        <v>45160</v>
      </c>
      <c r="B3133">
        <v>65220.03</v>
      </c>
      <c r="C3133">
        <v>574.85</v>
      </c>
      <c r="D3133">
        <v>6.0000000000000002E-5</v>
      </c>
      <c r="E3133">
        <v>1.269E-2</v>
      </c>
    </row>
    <row r="3134" spans="1:5" ht="14.25" customHeight="1">
      <c r="A3134" s="140">
        <v>45161</v>
      </c>
      <c r="B3134">
        <v>65433.3</v>
      </c>
      <c r="C3134">
        <v>566.85</v>
      </c>
      <c r="D3134">
        <v>3.2599999999999999E-3</v>
      </c>
      <c r="E3134">
        <v>-1.401E-2</v>
      </c>
    </row>
    <row r="3135" spans="1:5" ht="14.25" customHeight="1">
      <c r="A3135" s="140">
        <v>45162</v>
      </c>
      <c r="B3135">
        <v>65252.34</v>
      </c>
      <c r="C3135">
        <v>564.75</v>
      </c>
      <c r="D3135">
        <v>-2.7699999999999999E-3</v>
      </c>
      <c r="E3135">
        <v>-3.7100000000000002E-3</v>
      </c>
    </row>
    <row r="3136" spans="1:5" ht="14.25" customHeight="1">
      <c r="A3136" s="140">
        <v>45163</v>
      </c>
      <c r="B3136">
        <v>64886.51</v>
      </c>
      <c r="C3136">
        <v>558.04999999999995</v>
      </c>
      <c r="D3136">
        <v>-5.62E-3</v>
      </c>
      <c r="E3136">
        <v>-1.193E-2</v>
      </c>
    </row>
    <row r="3137" spans="1:5" ht="14.25" customHeight="1">
      <c r="A3137" s="140">
        <v>45166</v>
      </c>
      <c r="B3137">
        <v>64996.6</v>
      </c>
      <c r="C3137">
        <v>554.15</v>
      </c>
      <c r="D3137">
        <v>1.6999999999999999E-3</v>
      </c>
      <c r="E3137">
        <v>-7.0099999999999997E-3</v>
      </c>
    </row>
    <row r="3138" spans="1:5" ht="14.25" customHeight="1">
      <c r="A3138" s="140">
        <v>45167</v>
      </c>
      <c r="B3138">
        <v>65075.82</v>
      </c>
      <c r="C3138">
        <v>550.15</v>
      </c>
      <c r="D3138">
        <v>1.2199999999999999E-3</v>
      </c>
      <c r="E3138">
        <v>-7.2399999999999999E-3</v>
      </c>
    </row>
    <row r="3139" spans="1:5" ht="14.25" customHeight="1">
      <c r="A3139" s="140">
        <v>45168</v>
      </c>
      <c r="B3139">
        <v>65087.25</v>
      </c>
      <c r="C3139">
        <v>554.85</v>
      </c>
      <c r="D3139">
        <v>1.8000000000000001E-4</v>
      </c>
      <c r="E3139">
        <v>8.5100000000000002E-3</v>
      </c>
    </row>
    <row r="3140" spans="1:5" ht="14.25" customHeight="1">
      <c r="A3140" s="140">
        <v>45169</v>
      </c>
      <c r="B3140">
        <v>64831.41</v>
      </c>
      <c r="C3140">
        <v>553.29999999999995</v>
      </c>
      <c r="D3140">
        <v>-3.9399999999999999E-3</v>
      </c>
      <c r="E3140">
        <v>-2.8E-3</v>
      </c>
    </row>
    <row r="3141" spans="1:5" ht="14.25" customHeight="1">
      <c r="A3141" s="140">
        <v>45170</v>
      </c>
      <c r="B3141">
        <v>65387.16</v>
      </c>
      <c r="C3141">
        <v>553.5</v>
      </c>
      <c r="D3141">
        <v>8.5400000000000007E-3</v>
      </c>
      <c r="E3141">
        <v>3.6000000000000002E-4</v>
      </c>
    </row>
    <row r="3142" spans="1:5" ht="14.25" customHeight="1">
      <c r="A3142" s="140">
        <v>45173</v>
      </c>
      <c r="B3142">
        <v>65628.14</v>
      </c>
      <c r="C3142">
        <v>558</v>
      </c>
      <c r="D3142">
        <v>3.6800000000000001E-3</v>
      </c>
      <c r="E3142">
        <v>8.0999999999999996E-3</v>
      </c>
    </row>
    <row r="3143" spans="1:5" ht="14.25" customHeight="1">
      <c r="A3143" s="140">
        <v>45174</v>
      </c>
      <c r="B3143">
        <v>65780.259999999995</v>
      </c>
      <c r="C3143">
        <v>559.75</v>
      </c>
      <c r="D3143">
        <v>2.32E-3</v>
      </c>
      <c r="E3143">
        <v>3.13E-3</v>
      </c>
    </row>
    <row r="3144" spans="1:5" ht="14.25" customHeight="1">
      <c r="A3144" s="140">
        <v>45175</v>
      </c>
      <c r="B3144">
        <v>65880.52</v>
      </c>
      <c r="C3144">
        <v>561.9</v>
      </c>
      <c r="D3144">
        <v>1.5200000000000001E-3</v>
      </c>
      <c r="E3144">
        <v>3.8300000000000001E-3</v>
      </c>
    </row>
    <row r="3145" spans="1:5" ht="14.25" customHeight="1">
      <c r="A3145" s="140">
        <v>45176</v>
      </c>
      <c r="B3145">
        <v>66265.56</v>
      </c>
      <c r="C3145">
        <v>565.85</v>
      </c>
      <c r="D3145">
        <v>5.8300000000000001E-3</v>
      </c>
      <c r="E3145">
        <v>7.0099999999999997E-3</v>
      </c>
    </row>
    <row r="3146" spans="1:5" ht="14.25" customHeight="1">
      <c r="A3146" s="140">
        <v>45177</v>
      </c>
      <c r="B3146">
        <v>66598.91</v>
      </c>
      <c r="C3146">
        <v>567.15</v>
      </c>
      <c r="D3146">
        <v>5.0200000000000002E-3</v>
      </c>
      <c r="E3146">
        <v>2.2899999999999999E-3</v>
      </c>
    </row>
    <row r="3147" spans="1:5" ht="14.25" customHeight="1">
      <c r="A3147" s="140">
        <v>45180</v>
      </c>
      <c r="B3147">
        <v>67127.08</v>
      </c>
      <c r="C3147">
        <v>569.79999999999995</v>
      </c>
      <c r="D3147">
        <v>7.9000000000000008E-3</v>
      </c>
      <c r="E3147">
        <v>4.6600000000000001E-3</v>
      </c>
    </row>
    <row r="3148" spans="1:5" ht="14.25" customHeight="1">
      <c r="A3148" s="140">
        <v>45181</v>
      </c>
      <c r="B3148">
        <v>67221.13</v>
      </c>
      <c r="C3148">
        <v>565.29999999999995</v>
      </c>
      <c r="D3148">
        <v>1.4E-3</v>
      </c>
      <c r="E3148">
        <v>-7.9299999999999995E-3</v>
      </c>
    </row>
    <row r="3149" spans="1:5" ht="14.25" customHeight="1">
      <c r="A3149" s="140">
        <v>45182</v>
      </c>
      <c r="B3149">
        <v>67466.990000000005</v>
      </c>
      <c r="C3149">
        <v>565.29999999999995</v>
      </c>
      <c r="D3149">
        <v>3.65E-3</v>
      </c>
      <c r="E3149">
        <v>0</v>
      </c>
    </row>
    <row r="3150" spans="1:5" ht="14.25" customHeight="1">
      <c r="A3150" s="140">
        <v>45183</v>
      </c>
      <c r="B3150">
        <v>67519</v>
      </c>
      <c r="C3150">
        <v>567.15</v>
      </c>
      <c r="D3150">
        <v>7.6999999999999996E-4</v>
      </c>
      <c r="E3150">
        <v>3.2699999999999999E-3</v>
      </c>
    </row>
    <row r="3151" spans="1:5" ht="14.25" customHeight="1">
      <c r="A3151" s="140">
        <v>45184</v>
      </c>
      <c r="B3151">
        <v>67838.63</v>
      </c>
      <c r="C3151">
        <v>565.15</v>
      </c>
      <c r="D3151">
        <v>4.7200000000000002E-3</v>
      </c>
      <c r="E3151">
        <v>-3.5300000000000002E-3</v>
      </c>
    </row>
    <row r="3152" spans="1:5" ht="14.25" customHeight="1">
      <c r="A3152" s="140">
        <v>45187</v>
      </c>
      <c r="B3152">
        <v>67596.84</v>
      </c>
      <c r="C3152">
        <v>566.15</v>
      </c>
      <c r="D3152">
        <v>-3.5699999999999998E-3</v>
      </c>
      <c r="E3152">
        <v>1.7700000000000001E-3</v>
      </c>
    </row>
    <row r="3153" spans="1:5" ht="14.25" customHeight="1">
      <c r="A3153" s="140">
        <v>45189</v>
      </c>
      <c r="B3153">
        <v>66800.84</v>
      </c>
      <c r="C3153">
        <v>561</v>
      </c>
      <c r="D3153">
        <v>-1.1849999999999999E-2</v>
      </c>
      <c r="E3153">
        <v>-9.1400000000000006E-3</v>
      </c>
    </row>
    <row r="3154" spans="1:5" ht="14.25" customHeight="1">
      <c r="A3154" s="140">
        <v>45190</v>
      </c>
      <c r="B3154">
        <v>66230.240000000005</v>
      </c>
      <c r="C3154">
        <v>559.95000000000005</v>
      </c>
      <c r="D3154">
        <v>-8.5800000000000008E-3</v>
      </c>
      <c r="E3154">
        <v>-1.8699999999999999E-3</v>
      </c>
    </row>
    <row r="3155" spans="1:5" ht="14.25" customHeight="1">
      <c r="A3155" s="140">
        <v>45191</v>
      </c>
      <c r="B3155">
        <v>66009.149999999994</v>
      </c>
      <c r="C3155">
        <v>561.25</v>
      </c>
      <c r="D3155">
        <v>-3.3400000000000001E-3</v>
      </c>
      <c r="E3155">
        <v>2.32E-3</v>
      </c>
    </row>
    <row r="3156" spans="1:5" ht="14.25" customHeight="1">
      <c r="A3156" s="140">
        <v>45194</v>
      </c>
      <c r="B3156">
        <v>66023.69</v>
      </c>
      <c r="C3156">
        <v>553.85</v>
      </c>
      <c r="D3156">
        <v>2.2000000000000001E-4</v>
      </c>
      <c r="E3156">
        <v>-1.3270000000000001E-2</v>
      </c>
    </row>
    <row r="3157" spans="1:5" ht="14.25" customHeight="1">
      <c r="A3157" s="140">
        <v>45195</v>
      </c>
      <c r="B3157">
        <v>65945.47</v>
      </c>
      <c r="C3157">
        <v>555.54999999999995</v>
      </c>
      <c r="D3157">
        <v>-1.1900000000000001E-3</v>
      </c>
      <c r="E3157">
        <v>3.0599999999999998E-3</v>
      </c>
    </row>
    <row r="3158" spans="1:5" ht="14.25" customHeight="1">
      <c r="A3158" s="140">
        <v>45196</v>
      </c>
      <c r="B3158">
        <v>66118.69</v>
      </c>
      <c r="C3158">
        <v>560.85</v>
      </c>
      <c r="D3158">
        <v>2.6199999999999999E-3</v>
      </c>
      <c r="E3158">
        <v>9.4900000000000002E-3</v>
      </c>
    </row>
    <row r="3159" spans="1:5" ht="14.25" customHeight="1">
      <c r="A3159" s="140">
        <v>45197</v>
      </c>
      <c r="B3159">
        <v>65508.32</v>
      </c>
      <c r="C3159">
        <v>547.95000000000005</v>
      </c>
      <c r="D3159">
        <v>-9.2700000000000005E-3</v>
      </c>
      <c r="E3159">
        <v>-2.3269999999999999E-2</v>
      </c>
    </row>
    <row r="3160" spans="1:5" ht="14.25" customHeight="1">
      <c r="A3160" s="140">
        <v>45198</v>
      </c>
      <c r="B3160">
        <v>65828.41</v>
      </c>
      <c r="C3160">
        <v>551.54999999999995</v>
      </c>
      <c r="D3160">
        <v>4.8700000000000002E-3</v>
      </c>
      <c r="E3160">
        <v>6.5500000000000003E-3</v>
      </c>
    </row>
    <row r="3161" spans="1:5" ht="14.25" customHeight="1">
      <c r="A3161" s="140">
        <v>45202</v>
      </c>
      <c r="B3161">
        <v>65512.1</v>
      </c>
      <c r="C3161">
        <v>552.9</v>
      </c>
      <c r="D3161">
        <v>-4.8199999999999996E-3</v>
      </c>
      <c r="E3161">
        <v>2.4399999999999999E-3</v>
      </c>
    </row>
    <row r="3162" spans="1:5" ht="14.25" customHeight="1">
      <c r="A3162" s="140">
        <v>45203</v>
      </c>
      <c r="B3162">
        <v>65226.04</v>
      </c>
      <c r="C3162">
        <v>555.35</v>
      </c>
      <c r="D3162">
        <v>-4.3800000000000002E-3</v>
      </c>
      <c r="E3162">
        <v>4.4200000000000003E-3</v>
      </c>
    </row>
    <row r="3163" spans="1:5" ht="14.25" customHeight="1">
      <c r="A3163" s="140">
        <v>45204</v>
      </c>
      <c r="B3163">
        <v>65631.570000000007</v>
      </c>
      <c r="C3163">
        <v>550.75</v>
      </c>
      <c r="D3163">
        <v>6.1999999999999998E-3</v>
      </c>
      <c r="E3163">
        <v>-8.3199999999999993E-3</v>
      </c>
    </row>
    <row r="3164" spans="1:5" ht="14.25" customHeight="1">
      <c r="A3164" s="140">
        <v>45205</v>
      </c>
      <c r="B3164">
        <v>65995.63</v>
      </c>
      <c r="C3164">
        <v>547</v>
      </c>
      <c r="D3164">
        <v>5.5300000000000002E-3</v>
      </c>
      <c r="E3164">
        <v>-6.8300000000000001E-3</v>
      </c>
    </row>
    <row r="3165" spans="1:5" ht="14.25" customHeight="1">
      <c r="A3165" s="140">
        <v>45208</v>
      </c>
      <c r="B3165">
        <v>65512.39</v>
      </c>
      <c r="C3165">
        <v>541</v>
      </c>
      <c r="D3165">
        <v>-7.3499999999999998E-3</v>
      </c>
      <c r="E3165">
        <v>-1.103E-2</v>
      </c>
    </row>
    <row r="3166" spans="1:5" ht="14.25" customHeight="1">
      <c r="A3166" s="140">
        <v>45209</v>
      </c>
      <c r="B3166">
        <v>66079.360000000001</v>
      </c>
      <c r="C3166">
        <v>543.6</v>
      </c>
      <c r="D3166">
        <v>8.6199999999999992E-3</v>
      </c>
      <c r="E3166">
        <v>4.79E-3</v>
      </c>
    </row>
    <row r="3167" spans="1:5" ht="14.25" customHeight="1">
      <c r="A3167" s="140">
        <v>45210</v>
      </c>
      <c r="B3167">
        <v>66473.05</v>
      </c>
      <c r="C3167">
        <v>543.9</v>
      </c>
      <c r="D3167">
        <v>5.94E-3</v>
      </c>
      <c r="E3167">
        <v>5.5000000000000003E-4</v>
      </c>
    </row>
    <row r="3168" spans="1:5" ht="14.25" customHeight="1">
      <c r="A3168" s="140">
        <v>45211</v>
      </c>
      <c r="B3168">
        <v>66408.39</v>
      </c>
      <c r="C3168">
        <v>541</v>
      </c>
      <c r="D3168">
        <v>-9.7000000000000005E-4</v>
      </c>
      <c r="E3168">
        <v>-5.3499999999999997E-3</v>
      </c>
    </row>
    <row r="3169" spans="1:5" ht="14.25" customHeight="1">
      <c r="A3169" s="140">
        <v>45212</v>
      </c>
      <c r="B3169">
        <v>66282.740000000005</v>
      </c>
      <c r="C3169">
        <v>538.79999999999995</v>
      </c>
      <c r="D3169">
        <v>-1.89E-3</v>
      </c>
      <c r="E3169">
        <v>-4.0699999999999998E-3</v>
      </c>
    </row>
    <row r="3170" spans="1:5" ht="14.25" customHeight="1">
      <c r="A3170" s="140">
        <v>45215</v>
      </c>
      <c r="B3170">
        <v>66166.929999999993</v>
      </c>
      <c r="C3170">
        <v>537.1</v>
      </c>
      <c r="D3170">
        <v>-1.75E-3</v>
      </c>
      <c r="E3170">
        <v>-3.16E-3</v>
      </c>
    </row>
    <row r="3171" spans="1:5" ht="14.25" customHeight="1">
      <c r="A3171" s="140">
        <v>45216</v>
      </c>
      <c r="B3171">
        <v>66428.09</v>
      </c>
      <c r="C3171">
        <v>540.04999999999995</v>
      </c>
      <c r="D3171">
        <v>3.9399999999999999E-3</v>
      </c>
      <c r="E3171">
        <v>5.4799999999999996E-3</v>
      </c>
    </row>
    <row r="3172" spans="1:5" ht="14.25" customHeight="1">
      <c r="A3172" s="140">
        <v>45217</v>
      </c>
      <c r="B3172">
        <v>65877.02</v>
      </c>
      <c r="C3172">
        <v>534.15</v>
      </c>
      <c r="D3172">
        <v>-8.3300000000000006E-3</v>
      </c>
      <c r="E3172">
        <v>-1.099E-2</v>
      </c>
    </row>
    <row r="3173" spans="1:5" ht="14.25" customHeight="1">
      <c r="A3173" s="140">
        <v>45218</v>
      </c>
      <c r="B3173">
        <v>65629.240000000005</v>
      </c>
      <c r="C3173">
        <v>525.45000000000005</v>
      </c>
      <c r="D3173">
        <v>-3.7699999999999999E-3</v>
      </c>
      <c r="E3173">
        <v>-1.6420000000000001E-2</v>
      </c>
    </row>
    <row r="3174" spans="1:5" ht="14.25" customHeight="1">
      <c r="A3174" s="140">
        <v>45219</v>
      </c>
      <c r="B3174">
        <v>65397.62</v>
      </c>
      <c r="C3174">
        <v>524.5</v>
      </c>
      <c r="D3174">
        <v>-3.5400000000000002E-3</v>
      </c>
      <c r="E3174">
        <v>-1.81E-3</v>
      </c>
    </row>
    <row r="3175" spans="1:5" ht="14.25" customHeight="1">
      <c r="A3175" s="140">
        <v>45222</v>
      </c>
      <c r="B3175">
        <v>64571.88</v>
      </c>
      <c r="C3175">
        <v>521.29999999999995</v>
      </c>
      <c r="D3175">
        <v>-1.2710000000000001E-2</v>
      </c>
      <c r="E3175">
        <v>-6.1199999999999996E-3</v>
      </c>
    </row>
    <row r="3176" spans="1:5" ht="14.25" customHeight="1">
      <c r="A3176" s="140">
        <v>45224</v>
      </c>
      <c r="B3176">
        <v>64049.06</v>
      </c>
      <c r="C3176">
        <v>517.85</v>
      </c>
      <c r="D3176">
        <v>-8.1300000000000001E-3</v>
      </c>
      <c r="E3176">
        <v>-6.6400000000000001E-3</v>
      </c>
    </row>
    <row r="3177" spans="1:5" ht="14.25" customHeight="1">
      <c r="A3177" s="140">
        <v>45225</v>
      </c>
      <c r="B3177">
        <v>63148.15</v>
      </c>
      <c r="C3177">
        <v>506.65</v>
      </c>
      <c r="D3177">
        <v>-1.417E-2</v>
      </c>
      <c r="E3177">
        <v>-2.1870000000000001E-2</v>
      </c>
    </row>
    <row r="3178" spans="1:5" ht="14.25" customHeight="1">
      <c r="A3178" s="140">
        <v>45226</v>
      </c>
      <c r="B3178">
        <v>63782.8</v>
      </c>
      <c r="C3178">
        <v>524.45000000000005</v>
      </c>
      <c r="D3178">
        <v>0.01</v>
      </c>
      <c r="E3178">
        <v>3.4529999999999998E-2</v>
      </c>
    </row>
    <row r="3179" spans="1:5" ht="14.25" customHeight="1">
      <c r="A3179" s="140">
        <v>45229</v>
      </c>
      <c r="B3179">
        <v>64112.65</v>
      </c>
      <c r="C3179">
        <v>523.70000000000005</v>
      </c>
      <c r="D3179">
        <v>5.1599999999999997E-3</v>
      </c>
      <c r="E3179">
        <v>-1.4300000000000001E-3</v>
      </c>
    </row>
    <row r="3180" spans="1:5" ht="14.25" customHeight="1">
      <c r="A3180" s="140">
        <v>45230</v>
      </c>
      <c r="B3180">
        <v>63874.93</v>
      </c>
      <c r="C3180">
        <v>528.79999999999995</v>
      </c>
      <c r="D3180">
        <v>-3.7100000000000002E-3</v>
      </c>
      <c r="E3180">
        <v>9.6900000000000007E-3</v>
      </c>
    </row>
    <row r="3181" spans="1:5" ht="14.25" customHeight="1">
      <c r="A3181" s="140">
        <v>45231</v>
      </c>
      <c r="B3181">
        <v>63591.33</v>
      </c>
      <c r="C3181">
        <v>517.15</v>
      </c>
      <c r="D3181">
        <v>-4.45E-3</v>
      </c>
      <c r="E3181">
        <v>-2.2280000000000001E-2</v>
      </c>
    </row>
    <row r="3182" spans="1:5" ht="14.25" customHeight="1">
      <c r="A3182" s="140">
        <v>45232</v>
      </c>
      <c r="B3182">
        <v>64080.9</v>
      </c>
      <c r="C3182">
        <v>530.4</v>
      </c>
      <c r="D3182">
        <v>7.6699999999999997E-3</v>
      </c>
      <c r="E3182">
        <v>2.53E-2</v>
      </c>
    </row>
    <row r="3183" spans="1:5" ht="14.25" customHeight="1">
      <c r="A3183" s="140">
        <v>45233</v>
      </c>
      <c r="B3183">
        <v>64363.78</v>
      </c>
      <c r="C3183">
        <v>535.04999999999995</v>
      </c>
      <c r="D3183">
        <v>4.4000000000000003E-3</v>
      </c>
      <c r="E3183">
        <v>8.7299999999999999E-3</v>
      </c>
    </row>
    <row r="3184" spans="1:5" ht="14.25" customHeight="1">
      <c r="A3184" s="140">
        <v>45236</v>
      </c>
      <c r="B3184">
        <v>64958.69</v>
      </c>
      <c r="C3184">
        <v>537.70000000000005</v>
      </c>
      <c r="D3184">
        <v>9.1999999999999998E-3</v>
      </c>
      <c r="E3184">
        <v>4.9399999999999999E-3</v>
      </c>
    </row>
    <row r="3185" spans="1:5" ht="14.25" customHeight="1">
      <c r="A3185" s="140">
        <v>45237</v>
      </c>
      <c r="B3185">
        <v>64942.400000000001</v>
      </c>
      <c r="C3185">
        <v>536.20000000000005</v>
      </c>
      <c r="D3185">
        <v>-2.5000000000000001E-4</v>
      </c>
      <c r="E3185">
        <v>-2.7899999999999999E-3</v>
      </c>
    </row>
    <row r="3186" spans="1:5" ht="14.25" customHeight="1">
      <c r="A3186" s="140">
        <v>45238</v>
      </c>
      <c r="B3186">
        <v>64975.61</v>
      </c>
      <c r="C3186">
        <v>539.25</v>
      </c>
      <c r="D3186">
        <v>5.1000000000000004E-4</v>
      </c>
      <c r="E3186">
        <v>5.6699999999999997E-3</v>
      </c>
    </row>
    <row r="3187" spans="1:5" ht="14.25" customHeight="1">
      <c r="A3187" s="140">
        <v>45239</v>
      </c>
      <c r="B3187">
        <v>64832.2</v>
      </c>
      <c r="C3187">
        <v>535.79999999999995</v>
      </c>
      <c r="D3187">
        <v>-2.2100000000000002E-3</v>
      </c>
      <c r="E3187">
        <v>-6.4200000000000004E-3</v>
      </c>
    </row>
    <row r="3188" spans="1:5" ht="14.25" customHeight="1">
      <c r="A3188" s="140">
        <v>45240</v>
      </c>
      <c r="B3188">
        <v>64904.68</v>
      </c>
      <c r="C3188">
        <v>533.25</v>
      </c>
      <c r="D3188">
        <v>1.1199999999999999E-3</v>
      </c>
      <c r="E3188">
        <v>-4.7699999999999999E-3</v>
      </c>
    </row>
    <row r="3189" spans="1:5" ht="14.25" customHeight="1">
      <c r="A3189" s="140">
        <v>45242</v>
      </c>
      <c r="B3189">
        <v>65259.45</v>
      </c>
      <c r="C3189">
        <v>535.70000000000005</v>
      </c>
      <c r="D3189">
        <v>5.45E-3</v>
      </c>
      <c r="E3189">
        <v>4.5799999999999999E-3</v>
      </c>
    </row>
    <row r="3190" spans="1:5" ht="14.25" customHeight="1">
      <c r="A3190" s="140">
        <v>45243</v>
      </c>
      <c r="B3190">
        <v>64933.87</v>
      </c>
      <c r="C3190">
        <v>530.15</v>
      </c>
      <c r="D3190">
        <v>-5.0000000000000001E-3</v>
      </c>
      <c r="E3190">
        <v>-1.0410000000000001E-2</v>
      </c>
    </row>
    <row r="3191" spans="1:5" ht="14.25" customHeight="1">
      <c r="A3191" s="140">
        <v>45245</v>
      </c>
      <c r="B3191">
        <v>65675.929999999993</v>
      </c>
      <c r="C3191">
        <v>525.95000000000005</v>
      </c>
      <c r="D3191">
        <v>1.136E-2</v>
      </c>
      <c r="E3191">
        <v>-7.9500000000000005E-3</v>
      </c>
    </row>
    <row r="3192" spans="1:5" ht="14.25" customHeight="1">
      <c r="A3192" s="140">
        <v>45246</v>
      </c>
      <c r="B3192">
        <v>65982.48</v>
      </c>
      <c r="C3192">
        <v>535</v>
      </c>
      <c r="D3192">
        <v>4.6600000000000001E-3</v>
      </c>
      <c r="E3192">
        <v>1.7059999999999999E-2</v>
      </c>
    </row>
    <row r="3193" spans="1:5" ht="14.25" customHeight="1">
      <c r="A3193" s="140">
        <v>45247</v>
      </c>
      <c r="B3193">
        <v>65794.73</v>
      </c>
      <c r="C3193">
        <v>540.95000000000005</v>
      </c>
      <c r="D3193">
        <v>-2.8500000000000001E-3</v>
      </c>
      <c r="E3193">
        <v>1.106E-2</v>
      </c>
    </row>
    <row r="3194" spans="1:5" ht="14.25" customHeight="1">
      <c r="A3194" s="140">
        <v>45250</v>
      </c>
      <c r="B3194">
        <v>65655.149999999994</v>
      </c>
      <c r="C3194">
        <v>543.04999999999995</v>
      </c>
      <c r="D3194">
        <v>-2.1199999999999999E-3</v>
      </c>
      <c r="E3194">
        <v>3.8700000000000002E-3</v>
      </c>
    </row>
    <row r="3195" spans="1:5" ht="14.25" customHeight="1">
      <c r="A3195" s="140">
        <v>45251</v>
      </c>
      <c r="B3195">
        <v>65930.77</v>
      </c>
      <c r="C3195">
        <v>541.20000000000005</v>
      </c>
      <c r="D3195">
        <v>4.1900000000000001E-3</v>
      </c>
      <c r="E3195">
        <v>-3.4099999999999998E-3</v>
      </c>
    </row>
    <row r="3196" spans="1:5" ht="14.25" customHeight="1">
      <c r="A3196" s="140">
        <v>45252</v>
      </c>
      <c r="B3196">
        <v>66023.240000000005</v>
      </c>
      <c r="C3196">
        <v>540.79999999999995</v>
      </c>
      <c r="D3196">
        <v>1.4E-3</v>
      </c>
      <c r="E3196">
        <v>-7.3999999999999999E-4</v>
      </c>
    </row>
    <row r="3197" spans="1:5" ht="14.25" customHeight="1">
      <c r="A3197" s="140">
        <v>45253</v>
      </c>
      <c r="B3197">
        <v>66017.81</v>
      </c>
      <c r="C3197">
        <v>539.9</v>
      </c>
      <c r="D3197">
        <v>-8.0000000000000007E-5</v>
      </c>
      <c r="E3197">
        <v>-1.67E-3</v>
      </c>
    </row>
    <row r="3198" spans="1:5" ht="14.25" customHeight="1">
      <c r="A3198" s="140">
        <v>45254</v>
      </c>
      <c r="B3198">
        <v>65970.039999999994</v>
      </c>
      <c r="C3198">
        <v>537.20000000000005</v>
      </c>
      <c r="D3198">
        <v>-7.2000000000000005E-4</v>
      </c>
      <c r="E3198">
        <v>-5.0099999999999997E-3</v>
      </c>
    </row>
    <row r="3199" spans="1:5" ht="14.25" customHeight="1">
      <c r="A3199" s="140">
        <v>45258</v>
      </c>
      <c r="B3199">
        <v>66174.2</v>
      </c>
      <c r="C3199">
        <v>533.70000000000005</v>
      </c>
      <c r="D3199">
        <v>3.0899999999999999E-3</v>
      </c>
      <c r="E3199">
        <v>-6.5399999999999998E-3</v>
      </c>
    </row>
    <row r="3200" spans="1:5" ht="14.25" customHeight="1">
      <c r="A3200" s="140">
        <v>45259</v>
      </c>
      <c r="B3200">
        <v>66901.91</v>
      </c>
      <c r="C3200">
        <v>534.9</v>
      </c>
      <c r="D3200">
        <v>1.094E-2</v>
      </c>
      <c r="E3200">
        <v>2.2499999999999998E-3</v>
      </c>
    </row>
    <row r="3201" spans="1:5" ht="14.25" customHeight="1">
      <c r="A3201" s="140">
        <v>45260</v>
      </c>
      <c r="B3201">
        <v>66988.44</v>
      </c>
      <c r="C3201">
        <v>538.25</v>
      </c>
      <c r="D3201">
        <v>1.2899999999999999E-3</v>
      </c>
      <c r="E3201">
        <v>6.2399999999999999E-3</v>
      </c>
    </row>
    <row r="3202" spans="1:5" ht="14.25" customHeight="1">
      <c r="A3202" s="140">
        <v>45261</v>
      </c>
      <c r="B3202">
        <v>67481.19</v>
      </c>
      <c r="C3202">
        <v>541</v>
      </c>
      <c r="D3202">
        <v>7.3299999999999997E-3</v>
      </c>
      <c r="E3202">
        <v>5.1000000000000004E-3</v>
      </c>
    </row>
    <row r="3203" spans="1:5" ht="14.25" customHeight="1">
      <c r="A3203" s="140">
        <v>45264</v>
      </c>
      <c r="B3203">
        <v>68865.119999999995</v>
      </c>
      <c r="C3203">
        <v>547.1</v>
      </c>
      <c r="D3203">
        <v>2.0299999999999999E-2</v>
      </c>
      <c r="E3203">
        <v>1.1209999999999999E-2</v>
      </c>
    </row>
    <row r="3204" spans="1:5" ht="14.25" customHeight="1">
      <c r="A3204" s="140">
        <v>45265</v>
      </c>
      <c r="B3204">
        <v>69296.14</v>
      </c>
      <c r="C3204">
        <v>551.9</v>
      </c>
      <c r="D3204">
        <v>6.2399999999999999E-3</v>
      </c>
      <c r="E3204">
        <v>8.7399999999999995E-3</v>
      </c>
    </row>
    <row r="3205" spans="1:5" ht="14.25" customHeight="1">
      <c r="A3205" s="140">
        <v>45266</v>
      </c>
      <c r="B3205">
        <v>69653.73</v>
      </c>
      <c r="C3205">
        <v>550.04999999999995</v>
      </c>
      <c r="D3205">
        <v>5.1500000000000001E-3</v>
      </c>
      <c r="E3205">
        <v>-3.3600000000000001E-3</v>
      </c>
    </row>
    <row r="3206" spans="1:5" ht="14.25" customHeight="1">
      <c r="A3206" s="140">
        <v>45267</v>
      </c>
      <c r="B3206">
        <v>69521.69</v>
      </c>
      <c r="C3206">
        <v>545.70000000000005</v>
      </c>
      <c r="D3206">
        <v>-1.9E-3</v>
      </c>
      <c r="E3206">
        <v>-7.9399999999999991E-3</v>
      </c>
    </row>
    <row r="3207" spans="1:5" ht="14.25" customHeight="1">
      <c r="A3207" s="140">
        <v>45268</v>
      </c>
      <c r="B3207">
        <v>69825.600000000006</v>
      </c>
      <c r="C3207">
        <v>547.54999999999995</v>
      </c>
      <c r="D3207">
        <v>4.3600000000000002E-3</v>
      </c>
      <c r="E3207">
        <v>3.3800000000000002E-3</v>
      </c>
    </row>
    <row r="3208" spans="1:5" ht="14.25" customHeight="1">
      <c r="A3208" s="140">
        <v>45271</v>
      </c>
      <c r="B3208">
        <v>69928.53</v>
      </c>
      <c r="C3208">
        <v>550.5</v>
      </c>
      <c r="D3208">
        <v>1.47E-3</v>
      </c>
      <c r="E3208">
        <v>5.3699999999999998E-3</v>
      </c>
    </row>
    <row r="3209" spans="1:5" ht="14.25" customHeight="1">
      <c r="A3209" s="140">
        <v>45272</v>
      </c>
      <c r="B3209">
        <v>69551.03</v>
      </c>
      <c r="C3209">
        <v>549.20000000000005</v>
      </c>
      <c r="D3209">
        <v>-5.4099999999999999E-3</v>
      </c>
      <c r="E3209">
        <v>-2.3600000000000001E-3</v>
      </c>
    </row>
    <row r="3210" spans="1:5" ht="14.25" customHeight="1">
      <c r="A3210" s="140">
        <v>45273</v>
      </c>
      <c r="B3210">
        <v>69584.600000000006</v>
      </c>
      <c r="C3210">
        <v>547.65</v>
      </c>
      <c r="D3210">
        <v>4.8000000000000001E-4</v>
      </c>
      <c r="E3210">
        <v>-2.8300000000000001E-3</v>
      </c>
    </row>
    <row r="3211" spans="1:5" ht="14.25" customHeight="1">
      <c r="A3211" s="140">
        <v>45274</v>
      </c>
      <c r="B3211">
        <v>70514.2</v>
      </c>
      <c r="C3211">
        <v>547.6</v>
      </c>
      <c r="D3211">
        <v>1.3270000000000001E-2</v>
      </c>
      <c r="E3211">
        <v>-9.0000000000000006E-5</v>
      </c>
    </row>
    <row r="3212" spans="1:5" ht="14.25" customHeight="1">
      <c r="A3212" s="140">
        <v>45275</v>
      </c>
      <c r="B3212">
        <v>71483.75</v>
      </c>
      <c r="C3212">
        <v>539.85</v>
      </c>
      <c r="D3212">
        <v>1.366E-2</v>
      </c>
      <c r="E3212">
        <v>-1.4250000000000001E-2</v>
      </c>
    </row>
    <row r="3213" spans="1:5" ht="14.25" customHeight="1">
      <c r="A3213" s="140">
        <v>45278</v>
      </c>
      <c r="B3213">
        <v>71315.09</v>
      </c>
      <c r="C3213">
        <v>540.15</v>
      </c>
      <c r="D3213">
        <v>-2.3600000000000001E-3</v>
      </c>
      <c r="E3213">
        <v>5.5999999999999995E-4</v>
      </c>
    </row>
    <row r="3214" spans="1:5" ht="14.25" customHeight="1">
      <c r="A3214" s="140">
        <v>45279</v>
      </c>
      <c r="B3214">
        <v>71437.19</v>
      </c>
      <c r="C3214">
        <v>548.1</v>
      </c>
      <c r="D3214">
        <v>1.7099999999999999E-3</v>
      </c>
      <c r="E3214">
        <v>1.461E-2</v>
      </c>
    </row>
    <row r="3215" spans="1:5" ht="14.25" customHeight="1">
      <c r="A3215" s="140">
        <v>45280</v>
      </c>
      <c r="B3215">
        <v>70506.31</v>
      </c>
      <c r="C3215">
        <v>534.79999999999995</v>
      </c>
      <c r="D3215">
        <v>-1.312E-2</v>
      </c>
      <c r="E3215">
        <v>-2.4559999999999998E-2</v>
      </c>
    </row>
    <row r="3216" spans="1:5" ht="14.25" customHeight="1">
      <c r="A3216" s="140">
        <v>45281</v>
      </c>
      <c r="B3216">
        <v>70865.100000000006</v>
      </c>
      <c r="C3216">
        <v>530.9</v>
      </c>
      <c r="D3216">
        <v>5.0800000000000003E-3</v>
      </c>
      <c r="E3216">
        <v>-7.3200000000000001E-3</v>
      </c>
    </row>
    <row r="3217" spans="1:5" ht="14.25" customHeight="1">
      <c r="A3217" s="140">
        <v>45282</v>
      </c>
      <c r="B3217">
        <v>71106.960000000006</v>
      </c>
      <c r="C3217">
        <v>529.35</v>
      </c>
      <c r="D3217">
        <v>3.4099999999999998E-3</v>
      </c>
      <c r="E3217">
        <v>-2.9199999999999999E-3</v>
      </c>
    </row>
    <row r="3218" spans="1:5" ht="14.25" customHeight="1">
      <c r="A3218" s="140">
        <v>45286</v>
      </c>
      <c r="B3218">
        <v>71336.800000000003</v>
      </c>
      <c r="C3218">
        <v>530.5</v>
      </c>
      <c r="D3218">
        <v>3.2299999999999998E-3</v>
      </c>
      <c r="E3218">
        <v>2.1700000000000001E-3</v>
      </c>
    </row>
    <row r="3219" spans="1:5" ht="14.25" customHeight="1">
      <c r="A3219" s="140">
        <v>45287</v>
      </c>
      <c r="B3219">
        <v>72038.429999999993</v>
      </c>
      <c r="C3219">
        <v>534.75</v>
      </c>
      <c r="D3219">
        <v>9.7900000000000001E-3</v>
      </c>
      <c r="E3219">
        <v>7.9799999999999992E-3</v>
      </c>
    </row>
    <row r="3220" spans="1:5" ht="14.25" customHeight="1">
      <c r="A3220" s="140">
        <v>45288</v>
      </c>
      <c r="B3220">
        <v>72410.38</v>
      </c>
      <c r="C3220">
        <v>543.20000000000005</v>
      </c>
      <c r="D3220">
        <v>5.1500000000000001E-3</v>
      </c>
      <c r="E3220">
        <v>1.5679999999999999E-2</v>
      </c>
    </row>
    <row r="3221" spans="1:5" ht="14.25" customHeight="1">
      <c r="A3221" s="140">
        <v>45289</v>
      </c>
      <c r="B3221">
        <v>72240.259999999995</v>
      </c>
      <c r="C3221">
        <v>556.95000000000005</v>
      </c>
      <c r="D3221">
        <v>-2.3500000000000001E-3</v>
      </c>
      <c r="E3221">
        <v>2.5000000000000001E-2</v>
      </c>
    </row>
    <row r="3222" spans="1:5" ht="14.25" customHeight="1">
      <c r="A3222" s="140">
        <v>45292</v>
      </c>
      <c r="B3222">
        <v>72271.94</v>
      </c>
      <c r="C3222">
        <v>557.65</v>
      </c>
      <c r="D3222">
        <v>4.4000000000000002E-4</v>
      </c>
      <c r="E3222">
        <v>1.2600000000000001E-3</v>
      </c>
    </row>
    <row r="3223" spans="1:5" ht="14.25" customHeight="1">
      <c r="A3223" s="140">
        <v>45293</v>
      </c>
      <c r="B3223">
        <v>71892.479999999996</v>
      </c>
      <c r="C3223">
        <v>556.65</v>
      </c>
      <c r="D3223">
        <v>-5.2599999999999999E-3</v>
      </c>
      <c r="E3223">
        <v>-1.7899999999999999E-3</v>
      </c>
    </row>
    <row r="3224" spans="1:5" ht="14.25" customHeight="1">
      <c r="A3224" s="140">
        <v>45294</v>
      </c>
      <c r="B3224">
        <v>71356.600000000006</v>
      </c>
      <c r="C3224">
        <v>551.04999999999995</v>
      </c>
      <c r="D3224">
        <v>-7.4799999999999997E-3</v>
      </c>
      <c r="E3224">
        <v>-1.0109999999999999E-2</v>
      </c>
    </row>
    <row r="3225" spans="1:5" ht="14.25" customHeight="1">
      <c r="A3225" s="140">
        <v>45295</v>
      </c>
      <c r="B3225">
        <v>71847.570000000007</v>
      </c>
      <c r="C3225">
        <v>566.1</v>
      </c>
      <c r="D3225">
        <v>6.8599999999999998E-3</v>
      </c>
      <c r="E3225">
        <v>2.6950000000000002E-2</v>
      </c>
    </row>
    <row r="3226" spans="1:5" ht="14.25" customHeight="1">
      <c r="A3226" s="140">
        <v>45296</v>
      </c>
      <c r="B3226">
        <v>72026.149999999994</v>
      </c>
      <c r="C3226">
        <v>567.85</v>
      </c>
      <c r="D3226">
        <v>2.48E-3</v>
      </c>
      <c r="E3226">
        <v>3.0899999999999999E-3</v>
      </c>
    </row>
    <row r="3227" spans="1:5" ht="14.25" customHeight="1">
      <c r="A3227" s="140">
        <v>45299</v>
      </c>
      <c r="B3227">
        <v>71355.22</v>
      </c>
      <c r="C3227">
        <v>553.15</v>
      </c>
      <c r="D3227">
        <v>-9.3600000000000003E-3</v>
      </c>
      <c r="E3227">
        <v>-2.623E-2</v>
      </c>
    </row>
    <row r="3228" spans="1:5" ht="14.25" customHeight="1">
      <c r="A3228" s="140">
        <v>45300</v>
      </c>
      <c r="B3228">
        <v>71386.210000000006</v>
      </c>
      <c r="C3228">
        <v>547.85</v>
      </c>
      <c r="D3228">
        <v>4.2999999999999999E-4</v>
      </c>
      <c r="E3228">
        <v>-9.6299999999999997E-3</v>
      </c>
    </row>
    <row r="3229" spans="1:5" ht="14.25" customHeight="1">
      <c r="A3229" s="140">
        <v>45301</v>
      </c>
      <c r="B3229">
        <v>71657.710000000006</v>
      </c>
      <c r="C3229">
        <v>547.45000000000005</v>
      </c>
      <c r="D3229">
        <v>3.8E-3</v>
      </c>
      <c r="E3229">
        <v>-7.2999999999999996E-4</v>
      </c>
    </row>
    <row r="3230" spans="1:5" ht="14.25" customHeight="1">
      <c r="A3230" s="140">
        <v>45302</v>
      </c>
      <c r="B3230">
        <v>71721.179999999993</v>
      </c>
      <c r="C3230">
        <v>552.20000000000005</v>
      </c>
      <c r="D3230">
        <v>8.8999999999999995E-4</v>
      </c>
      <c r="E3230">
        <v>8.6400000000000001E-3</v>
      </c>
    </row>
    <row r="3231" spans="1:5" ht="14.25" customHeight="1">
      <c r="A3231" s="140">
        <v>45303</v>
      </c>
      <c r="B3231">
        <v>72568.45</v>
      </c>
      <c r="C3231">
        <v>549.54999999999995</v>
      </c>
      <c r="D3231">
        <v>1.174E-2</v>
      </c>
      <c r="E3231">
        <v>-4.81E-3</v>
      </c>
    </row>
    <row r="3232" spans="1:5" ht="14.25" customHeight="1">
      <c r="A3232" s="140">
        <v>45306</v>
      </c>
      <c r="B3232">
        <v>73327.94</v>
      </c>
      <c r="C3232">
        <v>554.20000000000005</v>
      </c>
      <c r="D3232">
        <v>1.0410000000000001E-2</v>
      </c>
      <c r="E3232">
        <v>8.43E-3</v>
      </c>
    </row>
    <row r="3233" spans="1:5" ht="14.25" customHeight="1">
      <c r="A3233" s="140">
        <v>45307</v>
      </c>
      <c r="B3233">
        <v>73128.77</v>
      </c>
      <c r="C3233">
        <v>558.95000000000005</v>
      </c>
      <c r="D3233">
        <v>-2.7200000000000002E-3</v>
      </c>
      <c r="E3233">
        <v>8.5299999999999994E-3</v>
      </c>
    </row>
    <row r="3234" spans="1:5" ht="14.25" customHeight="1">
      <c r="A3234" s="140">
        <v>45308</v>
      </c>
      <c r="B3234">
        <v>71500.759999999995</v>
      </c>
      <c r="C3234">
        <v>549.45000000000005</v>
      </c>
      <c r="D3234">
        <v>-2.2509999999999999E-2</v>
      </c>
      <c r="E3234">
        <v>-1.7139999999999999E-2</v>
      </c>
    </row>
    <row r="3235" spans="1:5" ht="14.25" customHeight="1">
      <c r="A3235" s="140">
        <v>45309</v>
      </c>
      <c r="B3235">
        <v>71186.86</v>
      </c>
      <c r="C3235">
        <v>539.54999999999995</v>
      </c>
      <c r="D3235">
        <v>-4.4000000000000003E-3</v>
      </c>
      <c r="E3235">
        <v>-1.8180000000000002E-2</v>
      </c>
    </row>
    <row r="3236" spans="1:5" ht="14.25" customHeight="1">
      <c r="A3236" s="140">
        <v>45310</v>
      </c>
      <c r="B3236">
        <v>71683.23</v>
      </c>
      <c r="C3236">
        <v>541.95000000000005</v>
      </c>
      <c r="D3236">
        <v>6.9499999999999996E-3</v>
      </c>
      <c r="E3236">
        <v>4.4400000000000004E-3</v>
      </c>
    </row>
    <row r="3237" spans="1:5" ht="14.25" customHeight="1">
      <c r="A3237" s="140">
        <v>45311</v>
      </c>
      <c r="B3237">
        <v>71423.649999999994</v>
      </c>
      <c r="C3237">
        <v>538.35</v>
      </c>
      <c r="D3237">
        <v>-3.63E-3</v>
      </c>
      <c r="E3237">
        <v>-6.6600000000000001E-3</v>
      </c>
    </row>
    <row r="3238" spans="1:5" ht="14.25" customHeight="1">
      <c r="A3238" s="140">
        <v>45314</v>
      </c>
      <c r="B3238">
        <v>70370.55</v>
      </c>
      <c r="C3238">
        <v>524.9</v>
      </c>
      <c r="D3238">
        <v>-1.485E-2</v>
      </c>
      <c r="E3238">
        <v>-2.53E-2</v>
      </c>
    </row>
    <row r="3239" spans="1:5" ht="14.25" customHeight="1">
      <c r="A3239" s="140">
        <v>45315</v>
      </c>
      <c r="B3239">
        <v>71060.31</v>
      </c>
      <c r="C3239">
        <v>536.54999999999995</v>
      </c>
      <c r="D3239">
        <v>9.75E-3</v>
      </c>
      <c r="E3239">
        <v>2.1950000000000001E-2</v>
      </c>
    </row>
    <row r="3240" spans="1:5" ht="14.25" customHeight="1">
      <c r="A3240" s="140">
        <v>45316</v>
      </c>
      <c r="B3240">
        <v>70700.67</v>
      </c>
      <c r="C3240">
        <v>531.54999999999995</v>
      </c>
      <c r="D3240">
        <v>-5.0699999999999999E-3</v>
      </c>
      <c r="E3240">
        <v>-9.3600000000000003E-3</v>
      </c>
    </row>
    <row r="3241" spans="1:5" ht="14.25" customHeight="1">
      <c r="A3241" s="140">
        <v>45320</v>
      </c>
      <c r="B3241">
        <v>71941.570000000007</v>
      </c>
      <c r="C3241">
        <v>533.9</v>
      </c>
      <c r="D3241">
        <v>1.7399999999999999E-2</v>
      </c>
      <c r="E3241">
        <v>4.4099999999999999E-3</v>
      </c>
    </row>
    <row r="3242" spans="1:5" ht="14.25" customHeight="1">
      <c r="A3242" s="140">
        <v>45321</v>
      </c>
      <c r="B3242">
        <v>71139.899999999994</v>
      </c>
      <c r="C3242">
        <v>535.85</v>
      </c>
      <c r="D3242">
        <v>-1.1209999999999999E-2</v>
      </c>
      <c r="E3242">
        <v>3.65E-3</v>
      </c>
    </row>
    <row r="3243" spans="1:5" ht="14.25" customHeight="1">
      <c r="A3243" s="140">
        <v>45322</v>
      </c>
      <c r="B3243">
        <v>71752.11</v>
      </c>
      <c r="C3243">
        <v>537.70000000000005</v>
      </c>
      <c r="D3243">
        <v>8.5699999999999995E-3</v>
      </c>
      <c r="E3243">
        <v>3.4499999999999999E-3</v>
      </c>
    </row>
    <row r="3244" spans="1:5" ht="14.25" customHeight="1">
      <c r="A3244" s="140">
        <v>45323</v>
      </c>
      <c r="B3244">
        <v>71645.3</v>
      </c>
      <c r="C3244">
        <v>554.5</v>
      </c>
      <c r="D3244">
        <v>-1.49E-3</v>
      </c>
      <c r="E3244">
        <v>3.0769999999999999E-2</v>
      </c>
    </row>
    <row r="3245" spans="1:5" ht="14.25" customHeight="1">
      <c r="A3245" s="140">
        <v>45324</v>
      </c>
      <c r="B3245">
        <v>72085.63</v>
      </c>
      <c r="C3245">
        <v>544.15</v>
      </c>
      <c r="D3245">
        <v>6.13E-3</v>
      </c>
      <c r="E3245">
        <v>-1.8839999999999999E-2</v>
      </c>
    </row>
    <row r="3246" spans="1:5" ht="14.25" customHeight="1">
      <c r="A3246" s="140">
        <v>45327</v>
      </c>
      <c r="B3246">
        <v>71731.42</v>
      </c>
      <c r="C3246">
        <v>533.54999999999995</v>
      </c>
      <c r="D3246">
        <v>-4.9300000000000004E-3</v>
      </c>
      <c r="E3246">
        <v>-1.967E-2</v>
      </c>
    </row>
    <row r="3247" spans="1:5" ht="14.25" customHeight="1">
      <c r="A3247" s="140">
        <v>45328</v>
      </c>
      <c r="B3247">
        <v>72186.09</v>
      </c>
      <c r="C3247">
        <v>532.85</v>
      </c>
      <c r="D3247">
        <v>6.3200000000000001E-3</v>
      </c>
      <c r="E3247">
        <v>-1.31E-3</v>
      </c>
    </row>
    <row r="3248" spans="1:5" ht="14.25" customHeight="1">
      <c r="A3248" s="140">
        <v>45329</v>
      </c>
      <c r="B3248">
        <v>72152</v>
      </c>
      <c r="C3248">
        <v>537.20000000000005</v>
      </c>
      <c r="D3248">
        <v>-4.6999999999999999E-4</v>
      </c>
      <c r="E3248">
        <v>8.1300000000000001E-3</v>
      </c>
    </row>
    <row r="3249" spans="1:5" ht="14.25" customHeight="1">
      <c r="A3249" s="140">
        <v>45330</v>
      </c>
      <c r="B3249">
        <v>71428.429999999993</v>
      </c>
      <c r="C3249">
        <v>534.04999999999995</v>
      </c>
      <c r="D3249">
        <v>-1.008E-2</v>
      </c>
      <c r="E3249">
        <v>-5.8799999999999998E-3</v>
      </c>
    </row>
    <row r="3250" spans="1:5" ht="14.25" customHeight="1">
      <c r="A3250" s="140">
        <v>45331</v>
      </c>
      <c r="B3250">
        <v>71595.490000000005</v>
      </c>
      <c r="C3250">
        <v>539.1</v>
      </c>
      <c r="D3250">
        <v>2.3400000000000001E-3</v>
      </c>
      <c r="E3250">
        <v>9.41E-3</v>
      </c>
    </row>
    <row r="3251" spans="1:5" ht="14.25" customHeight="1">
      <c r="A3251" s="140">
        <v>45334</v>
      </c>
      <c r="B3251">
        <v>71072.490000000005</v>
      </c>
      <c r="C3251">
        <v>536.29999999999995</v>
      </c>
      <c r="D3251">
        <v>-7.3299999999999997E-3</v>
      </c>
      <c r="E3251">
        <v>-5.2100000000000002E-3</v>
      </c>
    </row>
    <row r="3252" spans="1:5" ht="14.25" customHeight="1">
      <c r="A3252" s="140">
        <v>45335</v>
      </c>
      <c r="B3252">
        <v>71555.19</v>
      </c>
      <c r="C3252">
        <v>538.85</v>
      </c>
      <c r="D3252">
        <v>6.77E-3</v>
      </c>
      <c r="E3252">
        <v>4.7400000000000003E-3</v>
      </c>
    </row>
    <row r="3253" spans="1:5" ht="14.25" customHeight="1">
      <c r="A3253" s="140">
        <v>45336</v>
      </c>
      <c r="B3253">
        <v>71822.83</v>
      </c>
      <c r="C3253">
        <v>544.20000000000005</v>
      </c>
      <c r="D3253">
        <v>3.7299999999999998E-3</v>
      </c>
      <c r="E3253">
        <v>9.8799999999999999E-3</v>
      </c>
    </row>
    <row r="3254" spans="1:5" ht="14.25" customHeight="1">
      <c r="A3254" s="140">
        <v>45337</v>
      </c>
      <c r="B3254">
        <v>72050.38</v>
      </c>
      <c r="C3254">
        <v>544.25</v>
      </c>
      <c r="D3254">
        <v>3.16E-3</v>
      </c>
      <c r="E3254">
        <v>9.0000000000000006E-5</v>
      </c>
    </row>
    <row r="3255" spans="1:5" ht="14.25" customHeight="1">
      <c r="A3255" s="140">
        <v>45338</v>
      </c>
      <c r="B3255">
        <v>72426.64</v>
      </c>
      <c r="C3255">
        <v>544.4</v>
      </c>
      <c r="D3255">
        <v>5.2100000000000002E-3</v>
      </c>
      <c r="E3255">
        <v>2.7999999999999998E-4</v>
      </c>
    </row>
    <row r="3256" spans="1:5" ht="14.25" customHeight="1">
      <c r="A3256" s="140">
        <v>45341</v>
      </c>
      <c r="B3256">
        <v>72708.160000000003</v>
      </c>
      <c r="C3256">
        <v>547.79999999999995</v>
      </c>
      <c r="D3256">
        <v>3.8800000000000002E-3</v>
      </c>
      <c r="E3256">
        <v>6.2300000000000003E-3</v>
      </c>
    </row>
    <row r="3257" spans="1:5" ht="14.25" customHeight="1">
      <c r="A3257" s="140">
        <v>45342</v>
      </c>
      <c r="B3257">
        <v>73057.399999999994</v>
      </c>
      <c r="C3257">
        <v>547.85</v>
      </c>
      <c r="D3257">
        <v>4.79E-3</v>
      </c>
      <c r="E3257">
        <v>9.0000000000000006E-5</v>
      </c>
    </row>
    <row r="3258" spans="1:5" ht="14.25" customHeight="1">
      <c r="A3258" s="140">
        <v>45343</v>
      </c>
      <c r="B3258">
        <v>72623.09</v>
      </c>
      <c r="C3258">
        <v>545.9</v>
      </c>
      <c r="D3258">
        <v>-5.96E-3</v>
      </c>
      <c r="E3258">
        <v>-3.5699999999999998E-3</v>
      </c>
    </row>
    <row r="3259" spans="1:5" ht="14.25" customHeight="1">
      <c r="A3259" s="140">
        <v>45344</v>
      </c>
      <c r="B3259">
        <v>73158.240000000005</v>
      </c>
      <c r="C3259">
        <v>541.85</v>
      </c>
      <c r="D3259">
        <v>7.3400000000000002E-3</v>
      </c>
      <c r="E3259">
        <v>-7.45E-3</v>
      </c>
    </row>
    <row r="3260" spans="1:5" ht="14.25" customHeight="1">
      <c r="A3260" s="140">
        <v>45345</v>
      </c>
      <c r="B3260">
        <v>73142.8</v>
      </c>
      <c r="C3260">
        <v>535.65</v>
      </c>
      <c r="D3260">
        <v>-2.1000000000000001E-4</v>
      </c>
      <c r="E3260">
        <v>-1.1509999999999999E-2</v>
      </c>
    </row>
    <row r="3261" spans="1:5" ht="14.25" customHeight="1">
      <c r="A3261" s="140">
        <v>45348</v>
      </c>
      <c r="B3261">
        <v>72790.13</v>
      </c>
      <c r="C3261">
        <v>529.35</v>
      </c>
      <c r="D3261">
        <v>-4.8300000000000001E-3</v>
      </c>
      <c r="E3261">
        <v>-1.183E-2</v>
      </c>
    </row>
    <row r="3262" spans="1:5" ht="14.25" customHeight="1">
      <c r="A3262" s="140">
        <v>45349</v>
      </c>
      <c r="B3262">
        <v>73095.22</v>
      </c>
      <c r="C3262">
        <v>535.70000000000005</v>
      </c>
      <c r="D3262">
        <v>4.1799999999999997E-3</v>
      </c>
      <c r="E3262">
        <v>1.192E-2</v>
      </c>
    </row>
    <row r="3263" spans="1:5" ht="14.25" customHeight="1">
      <c r="A3263" s="140">
        <v>45350</v>
      </c>
      <c r="B3263">
        <v>72304.88</v>
      </c>
      <c r="C3263">
        <v>536.29999999999995</v>
      </c>
      <c r="D3263">
        <v>-1.0869999999999999E-2</v>
      </c>
      <c r="E3263">
        <v>1.1199999999999999E-3</v>
      </c>
    </row>
    <row r="3264" spans="1:5" ht="14.25" customHeight="1">
      <c r="A3264" s="140">
        <v>45351</v>
      </c>
      <c r="B3264">
        <v>72500.3</v>
      </c>
      <c r="C3264">
        <v>538.25</v>
      </c>
      <c r="D3264">
        <v>2.7000000000000001E-3</v>
      </c>
      <c r="E3264">
        <v>3.63E-3</v>
      </c>
    </row>
    <row r="3265" spans="1:5" ht="14.25" customHeight="1">
      <c r="A3265" s="140">
        <v>45352</v>
      </c>
      <c r="B3265">
        <v>73745.350000000006</v>
      </c>
      <c r="C3265">
        <v>540.45000000000005</v>
      </c>
      <c r="D3265">
        <v>1.703E-2</v>
      </c>
      <c r="E3265">
        <v>4.0800000000000003E-3</v>
      </c>
    </row>
    <row r="3266" spans="1:5" ht="14.25" customHeight="1">
      <c r="A3266" s="140">
        <v>45353</v>
      </c>
      <c r="B3266">
        <v>73806.149999999994</v>
      </c>
      <c r="C3266">
        <v>538.70000000000005</v>
      </c>
      <c r="D3266">
        <v>8.1999999999999998E-4</v>
      </c>
      <c r="E3266">
        <v>-3.2399999999999998E-3</v>
      </c>
    </row>
    <row r="3267" spans="1:5" ht="14.25" customHeight="1">
      <c r="A3267" s="140">
        <v>45355</v>
      </c>
      <c r="B3267">
        <v>73872.289999999994</v>
      </c>
      <c r="C3267">
        <v>537.4</v>
      </c>
      <c r="D3267">
        <v>8.9999999999999998E-4</v>
      </c>
      <c r="E3267">
        <v>-2.4199999999999998E-3</v>
      </c>
    </row>
    <row r="3268" spans="1:5" ht="14.25" customHeight="1">
      <c r="A3268" s="140">
        <v>45356</v>
      </c>
      <c r="B3268">
        <v>73677.13</v>
      </c>
      <c r="C3268">
        <v>534.29999999999995</v>
      </c>
      <c r="D3268">
        <v>-2.65E-3</v>
      </c>
      <c r="E3268">
        <v>-5.79E-3</v>
      </c>
    </row>
    <row r="3269" spans="1:5" ht="14.25" customHeight="1">
      <c r="A3269" s="140">
        <v>45357</v>
      </c>
      <c r="B3269">
        <v>74085.990000000005</v>
      </c>
      <c r="C3269">
        <v>531.6</v>
      </c>
      <c r="D3269">
        <v>5.5300000000000002E-3</v>
      </c>
      <c r="E3269">
        <v>-5.0699999999999999E-3</v>
      </c>
    </row>
    <row r="3270" spans="1:5" ht="14.25" customHeight="1">
      <c r="A3270" s="140">
        <v>45358</v>
      </c>
      <c r="B3270">
        <v>74119.39</v>
      </c>
      <c r="C3270">
        <v>534.65</v>
      </c>
      <c r="D3270">
        <v>4.4999999999999999E-4</v>
      </c>
      <c r="E3270">
        <v>5.7200000000000003E-3</v>
      </c>
    </row>
    <row r="3271" spans="1:5" ht="14.25" customHeight="1">
      <c r="A3271" s="140">
        <v>45362</v>
      </c>
      <c r="B3271">
        <v>73502.64</v>
      </c>
      <c r="C3271">
        <v>533.54999999999995</v>
      </c>
      <c r="D3271">
        <v>-8.3599999999999994E-3</v>
      </c>
      <c r="E3271">
        <v>-2.0600000000000002E-3</v>
      </c>
    </row>
    <row r="3272" spans="1:5" ht="14.25" customHeight="1">
      <c r="A3272" s="140">
        <v>45363</v>
      </c>
      <c r="B3272">
        <v>73667.960000000006</v>
      </c>
      <c r="C3272">
        <v>529.1</v>
      </c>
      <c r="D3272">
        <v>2.2499999999999998E-3</v>
      </c>
      <c r="E3272">
        <v>-8.3800000000000003E-3</v>
      </c>
    </row>
    <row r="3273" spans="1:5" ht="14.25" customHeight="1">
      <c r="A3273" s="140">
        <v>45364</v>
      </c>
      <c r="B3273">
        <v>72761.89</v>
      </c>
      <c r="C3273">
        <v>519.54999999999995</v>
      </c>
      <c r="D3273">
        <v>-1.238E-2</v>
      </c>
      <c r="E3273">
        <v>-1.821E-2</v>
      </c>
    </row>
    <row r="3274" spans="1:5" ht="14.25" customHeight="1">
      <c r="A3274" s="140">
        <v>45365</v>
      </c>
      <c r="B3274">
        <v>73097.279999999999</v>
      </c>
      <c r="C3274">
        <v>529.6</v>
      </c>
      <c r="D3274">
        <v>4.5999999999999999E-3</v>
      </c>
      <c r="E3274">
        <v>1.916E-2</v>
      </c>
    </row>
    <row r="3275" spans="1:5" ht="14.25" customHeight="1">
      <c r="A3275" s="140">
        <v>45366</v>
      </c>
      <c r="B3275">
        <v>72643.429999999993</v>
      </c>
      <c r="C3275">
        <v>527.20000000000005</v>
      </c>
      <c r="D3275">
        <v>-6.2300000000000003E-3</v>
      </c>
      <c r="E3275">
        <v>-4.5399999999999998E-3</v>
      </c>
    </row>
    <row r="3276" spans="1:5" ht="14.25" customHeight="1">
      <c r="A3276" s="140">
        <v>45369</v>
      </c>
      <c r="B3276">
        <v>72748.42</v>
      </c>
      <c r="C3276">
        <v>523.79999999999995</v>
      </c>
      <c r="D3276">
        <v>1.4400000000000001E-3</v>
      </c>
      <c r="E3276">
        <v>-6.4700000000000001E-3</v>
      </c>
    </row>
    <row r="3277" spans="1:5" ht="14.25" customHeight="1">
      <c r="A3277" s="140">
        <v>45370</v>
      </c>
      <c r="B3277">
        <v>72012.05</v>
      </c>
      <c r="C3277">
        <v>518.25</v>
      </c>
      <c r="D3277">
        <v>-1.017E-2</v>
      </c>
      <c r="E3277">
        <v>-1.065E-2</v>
      </c>
    </row>
    <row r="3278" spans="1:5" ht="14.25" customHeight="1">
      <c r="A3278" s="140">
        <v>45371</v>
      </c>
      <c r="B3278">
        <v>72101.69</v>
      </c>
      <c r="C3278">
        <v>520.04999999999995</v>
      </c>
      <c r="D3278">
        <v>1.24E-3</v>
      </c>
      <c r="E3278">
        <v>3.47E-3</v>
      </c>
    </row>
    <row r="3279" spans="1:5" ht="14.25" customHeight="1">
      <c r="A3279" s="140">
        <v>45372</v>
      </c>
      <c r="B3279">
        <v>72641.19</v>
      </c>
      <c r="C3279">
        <v>523.9</v>
      </c>
      <c r="D3279">
        <v>7.45E-3</v>
      </c>
      <c r="E3279">
        <v>7.3800000000000003E-3</v>
      </c>
    </row>
    <row r="3280" spans="1:5" ht="14.25" customHeight="1">
      <c r="A3280" s="140">
        <v>45373</v>
      </c>
      <c r="B3280">
        <v>72831.94</v>
      </c>
      <c r="C3280">
        <v>522.35</v>
      </c>
      <c r="D3280">
        <v>2.6199999999999999E-3</v>
      </c>
      <c r="E3280">
        <v>-2.96E-3</v>
      </c>
    </row>
    <row r="3281" spans="1:5" ht="14.25" customHeight="1">
      <c r="A3281" s="140">
        <v>45377</v>
      </c>
      <c r="B3281">
        <v>72470.3</v>
      </c>
      <c r="C3281">
        <v>521.15</v>
      </c>
      <c r="D3281">
        <v>-4.9800000000000001E-3</v>
      </c>
      <c r="E3281">
        <v>-2.3E-3</v>
      </c>
    </row>
    <row r="3282" spans="1:5" ht="14.25" customHeight="1">
      <c r="A3282" s="140">
        <v>45378</v>
      </c>
      <c r="B3282">
        <v>72996.31</v>
      </c>
      <c r="C3282">
        <v>521.45000000000005</v>
      </c>
      <c r="D3282">
        <v>7.2300000000000003E-3</v>
      </c>
      <c r="E3282">
        <v>5.8E-4</v>
      </c>
    </row>
    <row r="3283" spans="1:5" ht="14.25" customHeight="1">
      <c r="A3283" s="140">
        <v>45379</v>
      </c>
      <c r="B3283">
        <v>73651.350000000006</v>
      </c>
      <c r="C3283">
        <v>523.15</v>
      </c>
      <c r="D3283">
        <v>8.9300000000000004E-3</v>
      </c>
      <c r="E3283">
        <v>3.2499999999999999E-3</v>
      </c>
    </row>
    <row r="3284" spans="1:5" ht="14.25" customHeight="1">
      <c r="A3284" s="140">
        <v>45383</v>
      </c>
      <c r="B3284">
        <v>74014.55</v>
      </c>
      <c r="C3284">
        <v>529.1</v>
      </c>
      <c r="D3284">
        <v>4.9199999999999999E-3</v>
      </c>
      <c r="E3284">
        <v>1.1310000000000001E-2</v>
      </c>
    </row>
    <row r="3285" spans="1:5" ht="14.25" customHeight="1">
      <c r="A3285" s="140">
        <v>45384</v>
      </c>
      <c r="B3285">
        <v>73903.91</v>
      </c>
      <c r="C3285">
        <v>531.29999999999995</v>
      </c>
      <c r="D3285">
        <v>-1.5E-3</v>
      </c>
      <c r="E3285">
        <v>4.15E-3</v>
      </c>
    </row>
    <row r="3286" spans="1:5" ht="14.25" customHeight="1">
      <c r="A3286" s="140">
        <v>45385</v>
      </c>
      <c r="B3286">
        <v>73876.820000000007</v>
      </c>
      <c r="C3286">
        <v>531.29999999999995</v>
      </c>
      <c r="D3286">
        <v>-3.6999999999999999E-4</v>
      </c>
      <c r="E3286">
        <v>0</v>
      </c>
    </row>
    <row r="3287" spans="1:5" ht="14.25" customHeight="1">
      <c r="A3287" s="140">
        <v>45386</v>
      </c>
      <c r="B3287">
        <v>74227.63</v>
      </c>
      <c r="C3287">
        <v>505.95</v>
      </c>
      <c r="D3287">
        <v>4.7400000000000003E-3</v>
      </c>
      <c r="E3287">
        <v>-4.8890000000000003E-2</v>
      </c>
    </row>
    <row r="3288" spans="1:5" ht="14.25" customHeight="1">
      <c r="A3288" s="140">
        <v>45387</v>
      </c>
      <c r="B3288">
        <v>74248.22</v>
      </c>
      <c r="C3288">
        <v>507.75</v>
      </c>
      <c r="D3288">
        <v>2.7999999999999998E-4</v>
      </c>
      <c r="E3288">
        <v>3.5500000000000002E-3</v>
      </c>
    </row>
    <row r="3289" spans="1:5" ht="14.25" customHeight="1">
      <c r="A3289" s="140">
        <v>45390</v>
      </c>
      <c r="B3289">
        <v>74742.5</v>
      </c>
      <c r="C3289">
        <v>503</v>
      </c>
      <c r="D3289">
        <v>6.6400000000000001E-3</v>
      </c>
      <c r="E3289">
        <v>-9.4000000000000004E-3</v>
      </c>
    </row>
    <row r="3290" spans="1:5" ht="14.25" customHeight="1">
      <c r="A3290" s="140">
        <v>45391</v>
      </c>
      <c r="B3290">
        <v>74683.7</v>
      </c>
      <c r="C3290">
        <v>503.1</v>
      </c>
      <c r="D3290">
        <v>-7.9000000000000001E-4</v>
      </c>
      <c r="E3290">
        <v>2.0000000000000001E-4</v>
      </c>
    </row>
    <row r="3291" spans="1:5" ht="14.25" customHeight="1">
      <c r="A3291" s="140">
        <v>45392</v>
      </c>
      <c r="B3291">
        <v>75038.149999999994</v>
      </c>
      <c r="C3291">
        <v>506.4</v>
      </c>
      <c r="D3291">
        <v>4.7299999999999998E-3</v>
      </c>
      <c r="E3291">
        <v>6.5399999999999998E-3</v>
      </c>
    </row>
    <row r="3292" spans="1:5" ht="14.25" customHeight="1">
      <c r="A3292" s="140">
        <v>45394</v>
      </c>
      <c r="B3292">
        <v>74244.899999999994</v>
      </c>
      <c r="C3292">
        <v>500.9</v>
      </c>
      <c r="D3292">
        <v>-1.0630000000000001E-2</v>
      </c>
      <c r="E3292">
        <v>-1.0919999999999999E-2</v>
      </c>
    </row>
    <row r="3293" spans="1:5" ht="14.25" customHeight="1">
      <c r="A3293" s="140">
        <v>45397</v>
      </c>
      <c r="B3293">
        <v>73399.78</v>
      </c>
      <c r="C3293">
        <v>495.25</v>
      </c>
      <c r="D3293">
        <v>-1.145E-2</v>
      </c>
      <c r="E3293">
        <v>-1.1339999999999999E-2</v>
      </c>
    </row>
    <row r="3294" spans="1:5" ht="14.25" customHeight="1">
      <c r="A3294" s="140">
        <v>45398</v>
      </c>
      <c r="B3294">
        <v>72943.679999999993</v>
      </c>
      <c r="C3294">
        <v>503.9</v>
      </c>
      <c r="D3294">
        <v>-6.2300000000000003E-3</v>
      </c>
      <c r="E3294">
        <v>1.7319999999999999E-2</v>
      </c>
    </row>
    <row r="3295" spans="1:5" ht="14.25" customHeight="1">
      <c r="A3295" s="140">
        <v>45400</v>
      </c>
      <c r="B3295">
        <v>72488.990000000005</v>
      </c>
      <c r="C3295">
        <v>504.1</v>
      </c>
      <c r="D3295">
        <v>-6.2500000000000003E-3</v>
      </c>
      <c r="E3295">
        <v>4.0000000000000002E-4</v>
      </c>
    </row>
    <row r="3296" spans="1:5" ht="14.25" customHeight="1">
      <c r="A3296" s="140">
        <v>45401</v>
      </c>
      <c r="B3296">
        <v>73088.33</v>
      </c>
      <c r="C3296">
        <v>504.35</v>
      </c>
      <c r="D3296">
        <v>8.2299999999999995E-3</v>
      </c>
      <c r="E3296">
        <v>5.0000000000000001E-4</v>
      </c>
    </row>
    <row r="3297" spans="1:5" ht="14.25" customHeight="1">
      <c r="A3297" s="140">
        <v>45404</v>
      </c>
      <c r="B3297">
        <v>73648.62</v>
      </c>
      <c r="C3297">
        <v>506.25</v>
      </c>
      <c r="D3297">
        <v>7.6400000000000001E-3</v>
      </c>
      <c r="E3297">
        <v>3.7599999999999999E-3</v>
      </c>
    </row>
    <row r="3298" spans="1:5" ht="14.25" customHeight="1">
      <c r="A3298" s="140">
        <v>45405</v>
      </c>
      <c r="B3298">
        <v>73738.45</v>
      </c>
      <c r="C3298">
        <v>507.2</v>
      </c>
      <c r="D3298">
        <v>1.2199999999999999E-3</v>
      </c>
      <c r="E3298">
        <v>1.8699999999999999E-3</v>
      </c>
    </row>
    <row r="3299" spans="1:5" ht="14.25" customHeight="1">
      <c r="A3299" s="140">
        <v>45406</v>
      </c>
      <c r="B3299">
        <v>73852.94</v>
      </c>
      <c r="C3299">
        <v>509.3</v>
      </c>
      <c r="D3299">
        <v>1.5499999999999999E-3</v>
      </c>
      <c r="E3299">
        <v>4.13E-3</v>
      </c>
    </row>
    <row r="3300" spans="1:5" ht="14.25" customHeight="1">
      <c r="A3300" s="140">
        <v>45407</v>
      </c>
      <c r="B3300">
        <v>74339.44</v>
      </c>
      <c r="C3300">
        <v>506.75</v>
      </c>
      <c r="D3300">
        <v>6.5700000000000003E-3</v>
      </c>
      <c r="E3300">
        <v>-5.0200000000000002E-3</v>
      </c>
    </row>
    <row r="3301" spans="1:5" ht="14.25" customHeight="1">
      <c r="A3301" s="140">
        <v>45408</v>
      </c>
      <c r="B3301">
        <v>73730.16</v>
      </c>
      <c r="C3301">
        <v>509</v>
      </c>
      <c r="D3301">
        <v>-8.2299999999999995E-3</v>
      </c>
      <c r="E3301">
        <v>4.4299999999999999E-3</v>
      </c>
    </row>
    <row r="3302" spans="1:5" ht="14.25" customHeight="1">
      <c r="A3302" s="140">
        <v>45411</v>
      </c>
      <c r="B3302">
        <v>74671.28</v>
      </c>
      <c r="C3302">
        <v>506.65</v>
      </c>
      <c r="D3302">
        <v>1.268E-2</v>
      </c>
      <c r="E3302">
        <v>-4.6299999999999996E-3</v>
      </c>
    </row>
    <row r="3303" spans="1:5" ht="14.25" customHeight="1">
      <c r="A3303" s="140">
        <v>45412</v>
      </c>
      <c r="B3303">
        <v>74482.78</v>
      </c>
      <c r="C3303">
        <v>507.55</v>
      </c>
      <c r="D3303">
        <v>-2.5300000000000001E-3</v>
      </c>
      <c r="E3303">
        <v>1.7700000000000001E-3</v>
      </c>
    </row>
    <row r="3304" spans="1:5" ht="14.25" customHeight="1">
      <c r="A3304" s="140">
        <v>45414</v>
      </c>
      <c r="B3304">
        <v>74611.11</v>
      </c>
      <c r="C3304">
        <v>524.29999999999995</v>
      </c>
      <c r="D3304">
        <v>1.72E-3</v>
      </c>
      <c r="E3304">
        <v>3.2469999999999999E-2</v>
      </c>
    </row>
    <row r="3305" spans="1:5" ht="14.25" customHeight="1">
      <c r="A3305" s="140">
        <v>45415</v>
      </c>
      <c r="B3305">
        <v>73878.149999999994</v>
      </c>
      <c r="C3305">
        <v>531.25</v>
      </c>
      <c r="D3305">
        <v>-9.8700000000000003E-3</v>
      </c>
      <c r="E3305">
        <v>1.3169999999999999E-2</v>
      </c>
    </row>
    <row r="3306" spans="1:5" ht="14.25" customHeight="1">
      <c r="A3306" s="140">
        <v>45418</v>
      </c>
      <c r="B3306">
        <v>73895.539999999994</v>
      </c>
      <c r="C3306">
        <v>530.85</v>
      </c>
      <c r="D3306">
        <v>2.4000000000000001E-4</v>
      </c>
      <c r="E3306">
        <v>-7.5000000000000002E-4</v>
      </c>
    </row>
    <row r="3307" spans="1:5" ht="14.25" customHeight="1">
      <c r="A3307" s="140">
        <v>45419</v>
      </c>
      <c r="B3307">
        <v>73511.850000000006</v>
      </c>
      <c r="C3307">
        <v>559.04999999999995</v>
      </c>
      <c r="D3307">
        <v>-5.2100000000000002E-3</v>
      </c>
      <c r="E3307">
        <v>5.176E-2</v>
      </c>
    </row>
    <row r="3308" spans="1:5" ht="14.25" customHeight="1">
      <c r="A3308" s="140">
        <v>45420</v>
      </c>
      <c r="B3308">
        <v>73466.39</v>
      </c>
      <c r="C3308">
        <v>556.65</v>
      </c>
      <c r="D3308">
        <v>-6.2E-4</v>
      </c>
      <c r="E3308">
        <v>-4.3E-3</v>
      </c>
    </row>
    <row r="3309" spans="1:5" ht="14.25" customHeight="1">
      <c r="A3309" s="140">
        <v>45421</v>
      </c>
      <c r="B3309">
        <v>72404.17</v>
      </c>
      <c r="C3309">
        <v>552.6</v>
      </c>
      <c r="D3309">
        <v>-1.456E-2</v>
      </c>
      <c r="E3309">
        <v>-7.3000000000000001E-3</v>
      </c>
    </row>
    <row r="3310" spans="1:5" ht="14.25" customHeight="1">
      <c r="A3310" s="140">
        <v>45422</v>
      </c>
      <c r="B3310">
        <v>72664.47</v>
      </c>
      <c r="C3310">
        <v>551.04999999999995</v>
      </c>
      <c r="D3310">
        <v>3.5899999999999999E-3</v>
      </c>
      <c r="E3310">
        <v>-2.81E-3</v>
      </c>
    </row>
    <row r="3311" spans="1:5" ht="14.25" customHeight="1">
      <c r="A3311" s="140">
        <v>45425</v>
      </c>
      <c r="B3311">
        <v>72776.13</v>
      </c>
      <c r="C3311">
        <v>550.20000000000005</v>
      </c>
      <c r="D3311">
        <v>1.5399999999999999E-3</v>
      </c>
      <c r="E3311">
        <v>-1.5399999999999999E-3</v>
      </c>
    </row>
    <row r="3312" spans="1:5" ht="14.25" customHeight="1">
      <c r="A3312" s="140">
        <v>45426</v>
      </c>
      <c r="B3312">
        <v>73104.61</v>
      </c>
      <c r="C3312">
        <v>554.4</v>
      </c>
      <c r="D3312">
        <v>4.4999999999999997E-3</v>
      </c>
      <c r="E3312">
        <v>7.6E-3</v>
      </c>
    </row>
    <row r="3313" spans="1:5" ht="14.25" customHeight="1">
      <c r="A3313" s="140">
        <v>45427</v>
      </c>
      <c r="B3313">
        <v>72987.03</v>
      </c>
      <c r="C3313">
        <v>546.04999999999995</v>
      </c>
      <c r="D3313">
        <v>-1.6100000000000001E-3</v>
      </c>
      <c r="E3313">
        <v>-1.5180000000000001E-2</v>
      </c>
    </row>
    <row r="3314" spans="1:5" ht="14.25" customHeight="1">
      <c r="A3314" s="140">
        <v>45428</v>
      </c>
      <c r="B3314">
        <v>73663.72</v>
      </c>
      <c r="C3314">
        <v>541.6</v>
      </c>
      <c r="D3314">
        <v>9.2300000000000004E-3</v>
      </c>
      <c r="E3314">
        <v>-8.1799999999999998E-3</v>
      </c>
    </row>
    <row r="3315" spans="1:5" ht="14.25" customHeight="1">
      <c r="A3315" s="140">
        <v>45429</v>
      </c>
      <c r="B3315">
        <v>73917.03</v>
      </c>
      <c r="C3315">
        <v>536</v>
      </c>
      <c r="D3315">
        <v>3.4299999999999999E-3</v>
      </c>
      <c r="E3315">
        <v>-1.039E-2</v>
      </c>
    </row>
    <row r="3316" spans="1:5" ht="14.25" customHeight="1">
      <c r="A3316" s="140">
        <v>45430</v>
      </c>
      <c r="B3316">
        <v>74005.94</v>
      </c>
      <c r="C3316">
        <v>539.9</v>
      </c>
      <c r="D3316">
        <v>1.1999999999999999E-3</v>
      </c>
      <c r="E3316">
        <v>7.2500000000000004E-3</v>
      </c>
    </row>
    <row r="3317" spans="1:5" ht="14.25" customHeight="1">
      <c r="A3317" s="140">
        <v>45433</v>
      </c>
      <c r="B3317">
        <v>73953.31</v>
      </c>
      <c r="C3317">
        <v>538.85</v>
      </c>
      <c r="D3317">
        <v>-7.1000000000000002E-4</v>
      </c>
      <c r="E3317">
        <v>-1.9499999999999999E-3</v>
      </c>
    </row>
    <row r="3318" spans="1:5" ht="14.25" customHeight="1">
      <c r="A3318" s="140">
        <v>45434</v>
      </c>
      <c r="B3318">
        <v>74221.06</v>
      </c>
      <c r="C3318">
        <v>553.79999999999995</v>
      </c>
      <c r="D3318">
        <v>3.6099999999999999E-3</v>
      </c>
      <c r="E3318">
        <v>2.7369999999999998E-2</v>
      </c>
    </row>
    <row r="3319" spans="1:5" ht="14.25" customHeight="1">
      <c r="A3319" s="140">
        <v>45435</v>
      </c>
      <c r="B3319">
        <v>75418.039999999994</v>
      </c>
      <c r="C3319">
        <v>559.54999999999995</v>
      </c>
      <c r="D3319">
        <v>1.6E-2</v>
      </c>
      <c r="E3319">
        <v>1.0330000000000001E-2</v>
      </c>
    </row>
    <row r="3320" spans="1:5" ht="14.25" customHeight="1">
      <c r="A3320" s="140">
        <v>45436</v>
      </c>
      <c r="B3320">
        <v>75410.39</v>
      </c>
      <c r="C3320">
        <v>557.54999999999995</v>
      </c>
      <c r="D3320">
        <v>-1E-4</v>
      </c>
      <c r="E3320">
        <v>-3.5799999999999998E-3</v>
      </c>
    </row>
    <row r="3321" spans="1:5" ht="14.25" customHeight="1">
      <c r="A3321" s="140">
        <v>45439</v>
      </c>
      <c r="B3321">
        <v>75390.5</v>
      </c>
      <c r="C3321">
        <v>567.1</v>
      </c>
      <c r="D3321">
        <v>-2.5999999999999998E-4</v>
      </c>
      <c r="E3321">
        <v>1.6979999999999999E-2</v>
      </c>
    </row>
    <row r="3322" spans="1:5" ht="14.25" customHeight="1">
      <c r="A3322" s="140">
        <v>45440</v>
      </c>
      <c r="B3322">
        <v>75170.45</v>
      </c>
      <c r="C3322">
        <v>570.70000000000005</v>
      </c>
      <c r="D3322">
        <v>-2.9199999999999999E-3</v>
      </c>
      <c r="E3322">
        <v>6.3299999999999997E-3</v>
      </c>
    </row>
    <row r="3323" spans="1:5" ht="14.25" customHeight="1">
      <c r="A3323" s="140">
        <v>45441</v>
      </c>
      <c r="B3323">
        <v>74502.899999999994</v>
      </c>
      <c r="C3323">
        <v>554.95000000000005</v>
      </c>
      <c r="D3323">
        <v>-8.9200000000000008E-3</v>
      </c>
      <c r="E3323">
        <v>-2.7990000000000001E-2</v>
      </c>
    </row>
    <row r="3324" spans="1:5" ht="14.25" customHeight="1">
      <c r="A3324" s="140">
        <v>45442</v>
      </c>
      <c r="B3324">
        <v>73885.600000000006</v>
      </c>
      <c r="C3324">
        <v>550.85</v>
      </c>
      <c r="D3324">
        <v>-8.3199999999999993E-3</v>
      </c>
      <c r="E3324">
        <v>-7.4200000000000004E-3</v>
      </c>
    </row>
    <row r="3325" spans="1:5" ht="14.25" customHeight="1">
      <c r="A3325" s="140">
        <v>45443</v>
      </c>
      <c r="B3325">
        <v>73961.31</v>
      </c>
      <c r="C3325">
        <v>546.04999999999995</v>
      </c>
      <c r="D3325">
        <v>1.0200000000000001E-3</v>
      </c>
      <c r="E3325">
        <v>-8.7500000000000008E-3</v>
      </c>
    </row>
    <row r="3326" spans="1:5" ht="14.25" customHeight="1">
      <c r="A3326" s="140">
        <v>45446</v>
      </c>
      <c r="B3326">
        <v>76468.78</v>
      </c>
      <c r="C3326">
        <v>544.9</v>
      </c>
      <c r="D3326">
        <v>3.3340000000000002E-2</v>
      </c>
      <c r="E3326">
        <v>-2.1099999999999999E-3</v>
      </c>
    </row>
    <row r="3327" spans="1:5" ht="14.25" customHeight="1">
      <c r="A3327" s="140">
        <v>45447</v>
      </c>
      <c r="B3327">
        <v>72079.05</v>
      </c>
      <c r="C3327">
        <v>578.85</v>
      </c>
      <c r="D3327">
        <v>-5.9119999999999999E-2</v>
      </c>
      <c r="E3327">
        <v>6.0440000000000001E-2</v>
      </c>
    </row>
    <row r="3328" spans="1:5" ht="14.25" customHeight="1">
      <c r="A3328" s="140">
        <v>45448</v>
      </c>
      <c r="B3328">
        <v>74382.240000000005</v>
      </c>
      <c r="C3328">
        <v>600.4</v>
      </c>
      <c r="D3328">
        <v>3.1449999999999999E-2</v>
      </c>
      <c r="E3328">
        <v>3.6549999999999999E-2</v>
      </c>
    </row>
    <row r="3329" spans="1:5" ht="14.25" customHeight="1">
      <c r="A3329" s="140">
        <v>45449</v>
      </c>
      <c r="B3329">
        <v>75074.509999999995</v>
      </c>
      <c r="C3329">
        <v>597.4</v>
      </c>
      <c r="D3329">
        <v>9.2599999999999991E-3</v>
      </c>
      <c r="E3329">
        <v>-5.0099999999999997E-3</v>
      </c>
    </row>
    <row r="3330" spans="1:5" ht="14.25" customHeight="1">
      <c r="A3330" s="140">
        <v>45450</v>
      </c>
      <c r="B3330">
        <v>76693.36</v>
      </c>
      <c r="C3330">
        <v>612.6</v>
      </c>
      <c r="D3330">
        <v>2.1329999999999998E-2</v>
      </c>
      <c r="E3330">
        <v>2.513E-2</v>
      </c>
    </row>
    <row r="3331" spans="1:5" ht="14.25" customHeight="1">
      <c r="A3331" s="140">
        <v>45453</v>
      </c>
      <c r="B3331">
        <v>76490.080000000002</v>
      </c>
      <c r="C3331">
        <v>619.65</v>
      </c>
      <c r="D3331">
        <v>-2.65E-3</v>
      </c>
      <c r="E3331">
        <v>1.1440000000000001E-2</v>
      </c>
    </row>
    <row r="3332" spans="1:5" ht="14.25" customHeight="1">
      <c r="A3332" s="140">
        <v>45454</v>
      </c>
      <c r="B3332">
        <v>76456.59</v>
      </c>
      <c r="C3332">
        <v>613.4</v>
      </c>
      <c r="D3332">
        <v>-4.4000000000000002E-4</v>
      </c>
      <c r="E3332">
        <v>-1.014E-2</v>
      </c>
    </row>
    <row r="3333" spans="1:5" ht="14.25" customHeight="1">
      <c r="A3333" s="140">
        <v>45455</v>
      </c>
      <c r="B3333">
        <v>76606.570000000007</v>
      </c>
      <c r="C3333">
        <v>619.45000000000005</v>
      </c>
      <c r="D3333">
        <v>1.9599999999999999E-3</v>
      </c>
      <c r="E3333">
        <v>9.8099999999999993E-3</v>
      </c>
    </row>
    <row r="3334" spans="1:5" ht="14.25" customHeight="1">
      <c r="A3334" s="140">
        <v>45456</v>
      </c>
      <c r="B3334">
        <v>76810.899999999994</v>
      </c>
      <c r="C3334">
        <v>609.6</v>
      </c>
      <c r="D3334">
        <v>2.66E-3</v>
      </c>
      <c r="E3334">
        <v>-1.6029999999999999E-2</v>
      </c>
    </row>
    <row r="3335" spans="1:5" ht="14.25" customHeight="1">
      <c r="A3335" s="140">
        <v>45457</v>
      </c>
      <c r="B3335">
        <v>76992.77</v>
      </c>
      <c r="C3335">
        <v>608.6</v>
      </c>
      <c r="D3335">
        <v>2.3600000000000001E-3</v>
      </c>
      <c r="E3335">
        <v>-1.64E-3</v>
      </c>
    </row>
    <row r="3336" spans="1:5" ht="14.25" customHeight="1">
      <c r="A3336" s="140">
        <v>45461</v>
      </c>
      <c r="B3336">
        <v>77301.14</v>
      </c>
      <c r="C3336">
        <v>600.04999999999995</v>
      </c>
      <c r="D3336">
        <v>4.0000000000000001E-3</v>
      </c>
      <c r="E3336">
        <v>-1.4149999999999999E-2</v>
      </c>
    </row>
    <row r="3337" spans="1:5" ht="14.25" customHeight="1">
      <c r="A3337" s="140">
        <v>45462</v>
      </c>
      <c r="B3337">
        <v>77337.59</v>
      </c>
      <c r="C3337">
        <v>598.4</v>
      </c>
      <c r="D3337">
        <v>4.6999999999999999E-4</v>
      </c>
      <c r="E3337">
        <v>-2.7499999999999998E-3</v>
      </c>
    </row>
    <row r="3338" spans="1:5" ht="14.25" customHeight="1">
      <c r="A3338" s="140">
        <v>45463</v>
      </c>
      <c r="B3338">
        <v>77478.929999999993</v>
      </c>
      <c r="C3338">
        <v>600.70000000000005</v>
      </c>
      <c r="D3338">
        <v>1.83E-3</v>
      </c>
      <c r="E3338">
        <v>3.8400000000000001E-3</v>
      </c>
    </row>
    <row r="3339" spans="1:5" ht="14.25" customHeight="1">
      <c r="A3339" s="140">
        <v>45464</v>
      </c>
      <c r="B3339">
        <v>77209.899999999994</v>
      </c>
      <c r="C3339">
        <v>590.1</v>
      </c>
      <c r="D3339">
        <v>-3.48E-3</v>
      </c>
      <c r="E3339">
        <v>-1.78E-2</v>
      </c>
    </row>
    <row r="3340" spans="1:5" ht="14.25" customHeight="1">
      <c r="A3340" s="140">
        <v>45467</v>
      </c>
      <c r="B3340">
        <v>77341.08</v>
      </c>
      <c r="C3340">
        <v>599.75</v>
      </c>
      <c r="D3340">
        <v>1.6999999999999999E-3</v>
      </c>
      <c r="E3340">
        <v>1.6219999999999998E-2</v>
      </c>
    </row>
    <row r="3341" spans="1:5" ht="14.25" customHeight="1">
      <c r="A3341" s="140">
        <v>45468</v>
      </c>
      <c r="B3341">
        <v>78053.52</v>
      </c>
      <c r="C3341">
        <v>593.04999999999995</v>
      </c>
      <c r="D3341">
        <v>9.1699999999999993E-3</v>
      </c>
      <c r="E3341">
        <v>-1.123E-2</v>
      </c>
    </row>
    <row r="3342" spans="1:5" ht="14.25" customHeight="1">
      <c r="A3342" s="140">
        <v>45469</v>
      </c>
      <c r="B3342">
        <v>78674.25</v>
      </c>
      <c r="C3342">
        <v>602.6</v>
      </c>
      <c r="D3342">
        <v>7.92E-3</v>
      </c>
      <c r="E3342">
        <v>1.5970000000000002E-2</v>
      </c>
    </row>
    <row r="3343" spans="1:5" ht="14.25" customHeight="1">
      <c r="A3343" s="140">
        <v>45470</v>
      </c>
      <c r="B3343">
        <v>79243.179999999993</v>
      </c>
      <c r="C3343">
        <v>599.1</v>
      </c>
      <c r="D3343">
        <v>7.2100000000000003E-3</v>
      </c>
      <c r="E3343">
        <v>-5.8300000000000001E-3</v>
      </c>
    </row>
    <row r="3344" spans="1:5" ht="14.25" customHeight="1">
      <c r="A3344" s="140">
        <v>45471</v>
      </c>
      <c r="B3344">
        <v>79032.73</v>
      </c>
      <c r="C3344">
        <v>600.85</v>
      </c>
      <c r="D3344">
        <v>-2.66E-3</v>
      </c>
      <c r="E3344">
        <v>2.9199999999999999E-3</v>
      </c>
    </row>
    <row r="3345" spans="1:5" ht="14.25" customHeight="1">
      <c r="A3345" s="140">
        <v>45474</v>
      </c>
      <c r="B3345">
        <v>79476.19</v>
      </c>
      <c r="C3345">
        <v>610.79999999999995</v>
      </c>
      <c r="D3345">
        <v>5.5999999999999999E-3</v>
      </c>
      <c r="E3345">
        <v>1.6420000000000001E-2</v>
      </c>
    </row>
    <row r="3346" spans="1:5" ht="14.25" customHeight="1">
      <c r="A3346" s="140">
        <v>45475</v>
      </c>
      <c r="B3346">
        <v>79441.45</v>
      </c>
      <c r="C3346">
        <v>603.1</v>
      </c>
      <c r="D3346">
        <v>-4.4000000000000002E-4</v>
      </c>
      <c r="E3346">
        <v>-1.269E-2</v>
      </c>
    </row>
    <row r="3347" spans="1:5" ht="14.25" customHeight="1">
      <c r="A3347" s="140">
        <v>45476</v>
      </c>
      <c r="B3347">
        <v>79986.8</v>
      </c>
      <c r="C3347">
        <v>609.29999999999995</v>
      </c>
      <c r="D3347">
        <v>6.8399999999999997E-3</v>
      </c>
      <c r="E3347">
        <v>1.023E-2</v>
      </c>
    </row>
    <row r="3348" spans="1:5" ht="14.25" customHeight="1">
      <c r="A3348" s="140">
        <v>45477</v>
      </c>
      <c r="B3348">
        <v>80049.67</v>
      </c>
      <c r="C3348">
        <v>606.20000000000005</v>
      </c>
      <c r="D3348">
        <v>7.9000000000000001E-4</v>
      </c>
      <c r="E3348">
        <v>-5.1000000000000004E-3</v>
      </c>
    </row>
    <row r="3349" spans="1:5" ht="14.25" customHeight="1">
      <c r="A3349" s="140">
        <v>45478</v>
      </c>
      <c r="B3349">
        <v>79996.600000000006</v>
      </c>
      <c r="C3349">
        <v>606.4</v>
      </c>
      <c r="D3349">
        <v>-6.6E-4</v>
      </c>
      <c r="E3349">
        <v>3.3E-4</v>
      </c>
    </row>
    <row r="3350" spans="1:5" ht="14.25" customHeight="1">
      <c r="A3350" s="140">
        <v>45481</v>
      </c>
      <c r="B3350">
        <v>79960.38</v>
      </c>
      <c r="C3350">
        <v>623.29999999999995</v>
      </c>
      <c r="D3350">
        <v>-4.4999999999999999E-4</v>
      </c>
      <c r="E3350">
        <v>2.7490000000000001E-2</v>
      </c>
    </row>
    <row r="3351" spans="1:5" ht="14.25" customHeight="1">
      <c r="A3351" s="140">
        <v>45482</v>
      </c>
      <c r="B3351">
        <v>80351.64</v>
      </c>
      <c r="C3351">
        <v>630.15</v>
      </c>
      <c r="D3351">
        <v>4.8799999999999998E-3</v>
      </c>
      <c r="E3351">
        <v>1.093E-2</v>
      </c>
    </row>
    <row r="3352" spans="1:5" ht="14.25" customHeight="1">
      <c r="A3352" s="140">
        <v>45483</v>
      </c>
      <c r="B3352">
        <v>79924.77</v>
      </c>
      <c r="C3352">
        <v>632.6</v>
      </c>
      <c r="D3352">
        <v>-5.3299999999999997E-3</v>
      </c>
      <c r="E3352">
        <v>3.8800000000000002E-3</v>
      </c>
    </row>
    <row r="3353" spans="1:5" ht="14.25" customHeight="1">
      <c r="A3353" s="140">
        <v>45484</v>
      </c>
      <c r="B3353">
        <v>79897.34</v>
      </c>
      <c r="C3353">
        <v>629.1</v>
      </c>
      <c r="D3353">
        <v>-3.4000000000000002E-4</v>
      </c>
      <c r="E3353">
        <v>-5.5500000000000002E-3</v>
      </c>
    </row>
    <row r="3354" spans="1:5" ht="14.25" customHeight="1">
      <c r="A3354" s="140">
        <v>45485</v>
      </c>
      <c r="B3354">
        <v>80519.34</v>
      </c>
      <c r="C3354">
        <v>629.95000000000005</v>
      </c>
      <c r="D3354">
        <v>7.7499999999999999E-3</v>
      </c>
      <c r="E3354">
        <v>1.3500000000000001E-3</v>
      </c>
    </row>
    <row r="3355" spans="1:5" ht="14.25" customHeight="1">
      <c r="A3355" s="140">
        <v>45488</v>
      </c>
      <c r="B3355">
        <v>80664.86</v>
      </c>
      <c r="C3355">
        <v>632.20000000000005</v>
      </c>
      <c r="D3355">
        <v>1.81E-3</v>
      </c>
      <c r="E3355">
        <v>3.5699999999999998E-3</v>
      </c>
    </row>
    <row r="3356" spans="1:5" ht="14.25" customHeight="1">
      <c r="A3356" s="140">
        <v>45489</v>
      </c>
      <c r="B3356">
        <v>80716.55</v>
      </c>
      <c r="C3356">
        <v>640.79999999999995</v>
      </c>
      <c r="D3356">
        <v>6.4000000000000005E-4</v>
      </c>
      <c r="E3356">
        <v>1.3509999999999999E-2</v>
      </c>
    </row>
    <row r="3357" spans="1:5" ht="14.25" customHeight="1">
      <c r="A3357" s="140">
        <v>45491</v>
      </c>
      <c r="B3357">
        <v>81343.460000000006</v>
      </c>
      <c r="C3357">
        <v>644.5</v>
      </c>
      <c r="D3357">
        <v>7.7400000000000004E-3</v>
      </c>
      <c r="E3357">
        <v>5.7600000000000004E-3</v>
      </c>
    </row>
    <row r="3358" spans="1:5" ht="14.25" customHeight="1">
      <c r="A3358" s="140">
        <v>45492</v>
      </c>
      <c r="B3358">
        <v>80604.649999999994</v>
      </c>
      <c r="C3358">
        <v>633</v>
      </c>
      <c r="D3358">
        <v>-9.1199999999999996E-3</v>
      </c>
      <c r="E3358">
        <v>-1.7999999999999999E-2</v>
      </c>
    </row>
    <row r="3359" spans="1:5" ht="14.25" customHeight="1">
      <c r="A3359" s="140">
        <v>45495</v>
      </c>
      <c r="B3359">
        <v>80502.080000000002</v>
      </c>
      <c r="C3359">
        <v>636.5</v>
      </c>
      <c r="D3359">
        <v>-1.2700000000000001E-3</v>
      </c>
      <c r="E3359">
        <v>5.5100000000000001E-3</v>
      </c>
    </row>
    <row r="3360" spans="1:5" ht="14.25" customHeight="1">
      <c r="A3360" s="140">
        <v>45496</v>
      </c>
      <c r="B3360">
        <v>80429.039999999994</v>
      </c>
      <c r="C3360">
        <v>654</v>
      </c>
      <c r="D3360">
        <v>-9.1E-4</v>
      </c>
      <c r="E3360">
        <v>2.7119999999999998E-2</v>
      </c>
    </row>
    <row r="3361" spans="1:5" ht="14.25" customHeight="1">
      <c r="A3361" s="140">
        <v>45497</v>
      </c>
      <c r="B3361">
        <v>80148.88</v>
      </c>
      <c r="C3361">
        <v>633.65</v>
      </c>
      <c r="D3361">
        <v>-3.49E-3</v>
      </c>
      <c r="E3361">
        <v>-3.1609999999999999E-2</v>
      </c>
    </row>
    <row r="3362" spans="1:5" ht="14.25" customHeight="1">
      <c r="A3362" s="140">
        <v>45498</v>
      </c>
      <c r="B3362">
        <v>80039.8</v>
      </c>
      <c r="C3362">
        <v>631</v>
      </c>
      <c r="D3362">
        <v>-1.3600000000000001E-3</v>
      </c>
      <c r="E3362">
        <v>-4.1900000000000001E-3</v>
      </c>
    </row>
    <row r="3363" spans="1:5" ht="14.25" customHeight="1">
      <c r="A3363" s="140">
        <v>45499</v>
      </c>
      <c r="B3363">
        <v>81332.72</v>
      </c>
      <c r="C3363">
        <v>632.95000000000005</v>
      </c>
      <c r="D3363">
        <v>1.602E-2</v>
      </c>
      <c r="E3363">
        <v>3.0899999999999999E-3</v>
      </c>
    </row>
    <row r="3364" spans="1:5" ht="14.25" customHeight="1">
      <c r="A3364" s="140">
        <v>45502</v>
      </c>
      <c r="B3364">
        <v>81355.839999999997</v>
      </c>
      <c r="C3364">
        <v>641.1</v>
      </c>
      <c r="D3364">
        <v>2.7999999999999998E-4</v>
      </c>
      <c r="E3364">
        <v>1.2789999999999999E-2</v>
      </c>
    </row>
    <row r="3365" spans="1:5" ht="14.25" customHeight="1">
      <c r="A3365" s="140">
        <v>45503</v>
      </c>
      <c r="B3365">
        <v>81455.399999999994</v>
      </c>
      <c r="C3365">
        <v>633.54999999999995</v>
      </c>
      <c r="D3365">
        <v>1.2199999999999999E-3</v>
      </c>
      <c r="E3365">
        <v>-1.1849999999999999E-2</v>
      </c>
    </row>
    <row r="3366" spans="1:5" ht="14.25" customHeight="1">
      <c r="A3366" s="140">
        <v>45504</v>
      </c>
      <c r="B3366">
        <v>81741.34</v>
      </c>
      <c r="C3366">
        <v>635.35</v>
      </c>
      <c r="D3366">
        <v>3.5000000000000001E-3</v>
      </c>
      <c r="E3366">
        <v>2.8400000000000001E-3</v>
      </c>
    </row>
    <row r="3367" spans="1:5" ht="14.25" customHeight="1">
      <c r="A3367" s="140">
        <v>45505</v>
      </c>
      <c r="B3367">
        <v>81867.55</v>
      </c>
      <c r="C3367">
        <v>642.95000000000005</v>
      </c>
      <c r="D3367">
        <v>1.5399999999999999E-3</v>
      </c>
      <c r="E3367">
        <v>1.189E-2</v>
      </c>
    </row>
    <row r="3368" spans="1:5" ht="14.25" customHeight="1">
      <c r="A3368" s="140">
        <v>45506</v>
      </c>
      <c r="B3368">
        <v>80981.95</v>
      </c>
      <c r="C3368">
        <v>627.29999999999995</v>
      </c>
      <c r="D3368">
        <v>-1.0880000000000001E-2</v>
      </c>
      <c r="E3368">
        <v>-2.4639999999999999E-2</v>
      </c>
    </row>
    <row r="3369" spans="1:5" ht="14.25" customHeight="1">
      <c r="A3369" s="140">
        <v>45509</v>
      </c>
      <c r="B3369">
        <v>78759.399999999994</v>
      </c>
      <c r="C3369">
        <v>634.04999999999995</v>
      </c>
      <c r="D3369">
        <v>-2.7830000000000001E-2</v>
      </c>
      <c r="E3369">
        <v>1.0699999999999999E-2</v>
      </c>
    </row>
    <row r="3370" spans="1:5" ht="14.25" customHeight="1">
      <c r="A3370" s="140">
        <v>45510</v>
      </c>
      <c r="B3370">
        <v>78593.070000000007</v>
      </c>
      <c r="C3370">
        <v>629.1</v>
      </c>
      <c r="D3370">
        <v>-2.1099999999999999E-3</v>
      </c>
      <c r="E3370">
        <v>-7.8399999999999997E-3</v>
      </c>
    </row>
    <row r="3371" spans="1:5" ht="14.25" customHeight="1">
      <c r="A3371" s="140">
        <v>45511</v>
      </c>
      <c r="B3371">
        <v>79468.009999999995</v>
      </c>
      <c r="C3371">
        <v>639.4</v>
      </c>
      <c r="D3371">
        <v>1.107E-2</v>
      </c>
      <c r="E3371">
        <v>1.6240000000000001E-2</v>
      </c>
    </row>
    <row r="3372" spans="1:5" ht="14.25" customHeight="1">
      <c r="A3372" s="140">
        <v>45512</v>
      </c>
      <c r="B3372">
        <v>78886.22</v>
      </c>
      <c r="C3372">
        <v>637.25</v>
      </c>
      <c r="D3372">
        <v>-7.3499999999999998E-3</v>
      </c>
      <c r="E3372">
        <v>-3.3700000000000002E-3</v>
      </c>
    </row>
    <row r="3373" spans="1:5" ht="14.25" customHeight="1">
      <c r="A3373" s="140">
        <v>45513</v>
      </c>
      <c r="B3373">
        <v>79705.91</v>
      </c>
      <c r="C3373">
        <v>624.04999999999995</v>
      </c>
      <c r="D3373">
        <v>1.034E-2</v>
      </c>
      <c r="E3373">
        <v>-2.0930000000000001E-2</v>
      </c>
    </row>
    <row r="3374" spans="1:5" ht="14.25" customHeight="1">
      <c r="A3374" s="140">
        <v>45516</v>
      </c>
      <c r="B3374">
        <v>79648.92</v>
      </c>
      <c r="C3374">
        <v>620.29999999999995</v>
      </c>
      <c r="D3374">
        <v>-7.2000000000000005E-4</v>
      </c>
      <c r="E3374">
        <v>-6.0299999999999998E-3</v>
      </c>
    </row>
    <row r="3375" spans="1:5" ht="14.25" customHeight="1">
      <c r="A3375" s="140">
        <v>45517</v>
      </c>
      <c r="B3375">
        <v>78956.03</v>
      </c>
      <c r="C3375">
        <v>606.15</v>
      </c>
      <c r="D3375">
        <v>-8.7399999999999995E-3</v>
      </c>
      <c r="E3375">
        <v>-2.308E-2</v>
      </c>
    </row>
    <row r="3376" spans="1:5" ht="14.25" customHeight="1">
      <c r="A3376" s="140">
        <v>45518</v>
      </c>
      <c r="B3376">
        <v>79105.88</v>
      </c>
      <c r="C3376">
        <v>604.25</v>
      </c>
      <c r="D3376">
        <v>1.9E-3</v>
      </c>
      <c r="E3376">
        <v>-3.14E-3</v>
      </c>
    </row>
    <row r="3377" spans="1:5" ht="14.25" customHeight="1">
      <c r="A3377" s="140">
        <v>45520</v>
      </c>
      <c r="B3377">
        <v>80436.84</v>
      </c>
      <c r="C3377">
        <v>617.35</v>
      </c>
      <c r="D3377">
        <v>1.669E-2</v>
      </c>
      <c r="E3377">
        <v>2.145E-2</v>
      </c>
    </row>
    <row r="3378" spans="1:5" ht="14.25" customHeight="1">
      <c r="A3378" s="140">
        <v>45523</v>
      </c>
      <c r="B3378">
        <v>80424.679999999993</v>
      </c>
      <c r="C3378">
        <v>621.20000000000005</v>
      </c>
      <c r="D3378">
        <v>-1.4999999999999999E-4</v>
      </c>
      <c r="E3378">
        <v>6.2199999999999998E-3</v>
      </c>
    </row>
    <row r="3379" spans="1:5" ht="14.25" customHeight="1">
      <c r="A3379" s="140">
        <v>45524</v>
      </c>
      <c r="B3379">
        <v>80802.86</v>
      </c>
      <c r="C3379">
        <v>623.1</v>
      </c>
      <c r="D3379">
        <v>4.6899999999999997E-3</v>
      </c>
      <c r="E3379">
        <v>3.0500000000000002E-3</v>
      </c>
    </row>
    <row r="3380" spans="1:5" ht="14.25" customHeight="1">
      <c r="A3380" s="140">
        <v>45525</v>
      </c>
      <c r="B3380">
        <v>80905.3</v>
      </c>
      <c r="C3380">
        <v>634.5</v>
      </c>
      <c r="D3380">
        <v>1.2700000000000001E-3</v>
      </c>
      <c r="E3380">
        <v>1.813E-2</v>
      </c>
    </row>
    <row r="3381" spans="1:5" ht="14.25" customHeight="1">
      <c r="A3381" s="140">
        <v>45526</v>
      </c>
      <c r="B3381">
        <v>81053.19</v>
      </c>
      <c r="C3381">
        <v>645.75</v>
      </c>
      <c r="D3381">
        <v>1.83E-3</v>
      </c>
      <c r="E3381">
        <v>1.7579999999999998E-2</v>
      </c>
    </row>
    <row r="3382" spans="1:5" ht="14.25" customHeight="1">
      <c r="A3382" s="140">
        <v>45527</v>
      </c>
      <c r="B3382">
        <v>81086.210000000006</v>
      </c>
      <c r="C3382">
        <v>643.35</v>
      </c>
      <c r="D3382">
        <v>4.0999999999999999E-4</v>
      </c>
      <c r="E3382">
        <v>-3.7200000000000002E-3</v>
      </c>
    </row>
    <row r="3383" spans="1:5" ht="14.25" customHeight="1">
      <c r="A3383" s="140">
        <v>45530</v>
      </c>
      <c r="B3383">
        <v>81698.11</v>
      </c>
      <c r="C3383">
        <v>654.54999999999995</v>
      </c>
      <c r="D3383">
        <v>7.5199999999999998E-3</v>
      </c>
      <c r="E3383">
        <v>1.7260000000000001E-2</v>
      </c>
    </row>
    <row r="3384" spans="1:5" ht="14.25" customHeight="1">
      <c r="A3384" s="140">
        <v>45531</v>
      </c>
      <c r="B3384">
        <v>81711.759999999995</v>
      </c>
      <c r="C3384">
        <v>643.25</v>
      </c>
      <c r="D3384">
        <v>1.7000000000000001E-4</v>
      </c>
      <c r="E3384">
        <v>-1.7409999999999998E-2</v>
      </c>
    </row>
    <row r="3385" spans="1:5" ht="14.25" customHeight="1">
      <c r="A3385" s="140">
        <v>45532</v>
      </c>
      <c r="B3385">
        <v>81785.56</v>
      </c>
      <c r="C3385">
        <v>644.15</v>
      </c>
      <c r="D3385">
        <v>8.9999999999999998E-4</v>
      </c>
      <c r="E3385">
        <v>1.4E-3</v>
      </c>
    </row>
    <row r="3386" spans="1:5" ht="14.25" customHeight="1">
      <c r="A3386" s="140">
        <v>45533</v>
      </c>
      <c r="B3386">
        <v>82134.61</v>
      </c>
      <c r="C3386">
        <v>643.9</v>
      </c>
      <c r="D3386">
        <v>4.2599999999999999E-3</v>
      </c>
      <c r="E3386">
        <v>-3.8999999999999999E-4</v>
      </c>
    </row>
    <row r="3387" spans="1:5" ht="14.25" customHeight="1">
      <c r="A3387" s="140">
        <v>45534</v>
      </c>
      <c r="B3387">
        <v>82365.77</v>
      </c>
      <c r="C3387">
        <v>637.29999999999995</v>
      </c>
      <c r="D3387">
        <v>2.81E-3</v>
      </c>
      <c r="E3387">
        <v>-1.03E-2</v>
      </c>
    </row>
    <row r="3388" spans="1:5" ht="14.25" customHeight="1">
      <c r="A3388" s="140">
        <v>45537</v>
      </c>
      <c r="B3388">
        <v>82559.839999999997</v>
      </c>
      <c r="C3388">
        <v>636.65</v>
      </c>
      <c r="D3388">
        <v>2.3500000000000001E-3</v>
      </c>
      <c r="E3388">
        <v>-1.0200000000000001E-3</v>
      </c>
    </row>
    <row r="3389" spans="1:5" ht="14.25" customHeight="1">
      <c r="A3389" s="140">
        <v>45538</v>
      </c>
      <c r="B3389">
        <v>82555.44</v>
      </c>
      <c r="C3389">
        <v>638.35</v>
      </c>
      <c r="D3389">
        <v>-5.0000000000000002E-5</v>
      </c>
      <c r="E3389">
        <v>2.6700000000000001E-3</v>
      </c>
    </row>
    <row r="3390" spans="1:5" ht="14.25" customHeight="1">
      <c r="A3390" s="140">
        <v>45539</v>
      </c>
      <c r="B3390">
        <v>82352.639999999999</v>
      </c>
      <c r="C3390">
        <v>650.15</v>
      </c>
      <c r="D3390">
        <v>-2.4599999999999999E-3</v>
      </c>
      <c r="E3390">
        <v>1.8319999999999999E-2</v>
      </c>
    </row>
    <row r="3391" spans="1:5" ht="14.25" customHeight="1">
      <c r="A3391" s="140">
        <v>45540</v>
      </c>
      <c r="B3391">
        <v>82201.16</v>
      </c>
      <c r="C3391">
        <v>644.54999999999995</v>
      </c>
      <c r="D3391">
        <v>-1.8400000000000001E-3</v>
      </c>
      <c r="E3391">
        <v>-8.6499999999999997E-3</v>
      </c>
    </row>
    <row r="3392" spans="1:5" ht="14.25" customHeight="1">
      <c r="A3392" s="140">
        <v>45541</v>
      </c>
      <c r="B3392">
        <v>81183.929999999993</v>
      </c>
      <c r="C3392">
        <v>644.6</v>
      </c>
      <c r="D3392">
        <v>-1.2449999999999999E-2</v>
      </c>
      <c r="E3392">
        <v>8.0000000000000007E-5</v>
      </c>
    </row>
    <row r="3393" spans="1:5" ht="14.25" customHeight="1">
      <c r="A3393" s="140">
        <v>45544</v>
      </c>
      <c r="B3393">
        <v>81559.539999999994</v>
      </c>
      <c r="C3393">
        <v>661.95</v>
      </c>
      <c r="D3393">
        <v>4.62E-3</v>
      </c>
      <c r="E3393">
        <v>2.656E-2</v>
      </c>
    </row>
    <row r="3394" spans="1:5" ht="14.25" customHeight="1">
      <c r="A3394" s="140">
        <v>45545</v>
      </c>
      <c r="B3394">
        <v>81921.289999999994</v>
      </c>
      <c r="C3394">
        <v>664.7</v>
      </c>
      <c r="D3394">
        <v>4.4299999999999999E-3</v>
      </c>
      <c r="E3394">
        <v>4.15E-3</v>
      </c>
    </row>
    <row r="3395" spans="1:5" ht="14.25" customHeight="1">
      <c r="A3395" s="140">
        <v>45546</v>
      </c>
      <c r="B3395">
        <v>81523.16</v>
      </c>
      <c r="C3395">
        <v>663.9</v>
      </c>
      <c r="D3395">
        <v>-4.8700000000000002E-3</v>
      </c>
      <c r="E3395">
        <v>-1.1999999999999999E-3</v>
      </c>
    </row>
    <row r="3396" spans="1:5" ht="14.25" customHeight="1">
      <c r="A3396" s="140">
        <v>45547</v>
      </c>
      <c r="B3396">
        <v>82962.710000000006</v>
      </c>
      <c r="C3396">
        <v>664.6</v>
      </c>
      <c r="D3396">
        <v>1.7500000000000002E-2</v>
      </c>
      <c r="E3396">
        <v>1.0499999999999999E-3</v>
      </c>
    </row>
    <row r="3397" spans="1:5" ht="14.25" customHeight="1">
      <c r="A3397" s="140">
        <v>45548</v>
      </c>
      <c r="B3397">
        <v>82890.94</v>
      </c>
      <c r="C3397">
        <v>660.7</v>
      </c>
      <c r="D3397">
        <v>-8.7000000000000001E-4</v>
      </c>
      <c r="E3397">
        <v>-5.8900000000000003E-3</v>
      </c>
    </row>
    <row r="3398" spans="1:5" ht="14.25" customHeight="1">
      <c r="A3398" s="140">
        <v>45551</v>
      </c>
      <c r="B3398">
        <v>82988.78</v>
      </c>
      <c r="C3398">
        <v>661.2</v>
      </c>
      <c r="D3398">
        <v>1.1800000000000001E-3</v>
      </c>
      <c r="E3398">
        <v>7.6000000000000004E-4</v>
      </c>
    </row>
    <row r="3399" spans="1:5" ht="14.25" customHeight="1">
      <c r="A3399" s="140">
        <v>45552</v>
      </c>
      <c r="B3399">
        <v>83079.66</v>
      </c>
      <c r="C3399">
        <v>660.4</v>
      </c>
      <c r="D3399">
        <v>1.09E-3</v>
      </c>
      <c r="E3399">
        <v>-1.2099999999999999E-3</v>
      </c>
    </row>
    <row r="3400" spans="1:5" ht="14.25" customHeight="1">
      <c r="A3400" s="140">
        <v>45553</v>
      </c>
      <c r="B3400">
        <v>82948.23</v>
      </c>
      <c r="C3400">
        <v>654.20000000000005</v>
      </c>
      <c r="D3400">
        <v>-1.58E-3</v>
      </c>
      <c r="E3400">
        <v>-9.4299999999999991E-3</v>
      </c>
    </row>
    <row r="3401" spans="1:5" ht="14.25" customHeight="1">
      <c r="A3401" s="140">
        <v>45554</v>
      </c>
      <c r="B3401">
        <v>83184.800000000003</v>
      </c>
      <c r="C3401">
        <v>664.75</v>
      </c>
      <c r="D3401">
        <v>2.8500000000000001E-3</v>
      </c>
      <c r="E3401">
        <v>1.6E-2</v>
      </c>
    </row>
    <row r="3402" spans="1:5" ht="14.25" customHeight="1">
      <c r="A3402" s="140">
        <v>45555</v>
      </c>
      <c r="B3402">
        <v>84544.31</v>
      </c>
      <c r="C3402">
        <v>667.8</v>
      </c>
      <c r="D3402">
        <v>1.6209999999999999E-2</v>
      </c>
      <c r="E3402">
        <v>4.5799999999999999E-3</v>
      </c>
    </row>
    <row r="3403" spans="1:5" ht="14.25" customHeight="1">
      <c r="A3403" s="140">
        <v>45558</v>
      </c>
      <c r="B3403">
        <v>84928.61</v>
      </c>
      <c r="C3403">
        <v>661</v>
      </c>
      <c r="D3403">
        <v>4.5399999999999998E-3</v>
      </c>
      <c r="E3403">
        <v>-1.023E-2</v>
      </c>
    </row>
    <row r="3404" spans="1:5" ht="14.25" customHeight="1">
      <c r="A3404" s="140">
        <v>45559</v>
      </c>
      <c r="B3404">
        <v>84914.04</v>
      </c>
      <c r="C3404">
        <v>655.75</v>
      </c>
      <c r="D3404">
        <v>-1.7000000000000001E-4</v>
      </c>
      <c r="E3404">
        <v>-7.9699999999999997E-3</v>
      </c>
    </row>
    <row r="3405" spans="1:5" ht="14.25" customHeight="1">
      <c r="A3405" s="140">
        <v>45560</v>
      </c>
      <c r="B3405">
        <v>85169.87</v>
      </c>
      <c r="C3405">
        <v>627.1</v>
      </c>
      <c r="D3405">
        <v>3.0100000000000001E-3</v>
      </c>
      <c r="E3405">
        <v>-4.4670000000000001E-2</v>
      </c>
    </row>
    <row r="3406" spans="1:5" ht="14.25" customHeight="1">
      <c r="A3406" s="140">
        <v>45561</v>
      </c>
      <c r="B3406">
        <v>85836.12</v>
      </c>
      <c r="C3406">
        <v>625.70000000000005</v>
      </c>
      <c r="D3406">
        <v>7.79E-3</v>
      </c>
      <c r="E3406">
        <v>-2.2300000000000002E-3</v>
      </c>
    </row>
    <row r="3407" spans="1:5" ht="14.25" customHeight="1">
      <c r="A3407" s="140">
        <v>45562</v>
      </c>
      <c r="B3407">
        <v>85571.85</v>
      </c>
      <c r="C3407">
        <v>633.04999999999995</v>
      </c>
      <c r="D3407">
        <v>-3.0799999999999998E-3</v>
      </c>
      <c r="E3407">
        <v>1.1679999999999999E-2</v>
      </c>
    </row>
    <row r="3408" spans="1:5" ht="14.25" customHeight="1">
      <c r="A3408" s="140">
        <v>45565</v>
      </c>
      <c r="B3408">
        <v>84299.78</v>
      </c>
      <c r="C3408">
        <v>625.35</v>
      </c>
      <c r="D3408">
        <v>-1.498E-2</v>
      </c>
      <c r="E3408">
        <v>-1.2239999999999999E-2</v>
      </c>
    </row>
    <row r="3409" spans="1:5" ht="14.25" customHeight="1">
      <c r="A3409" s="140">
        <v>45566</v>
      </c>
      <c r="B3409">
        <v>84266.29</v>
      </c>
      <c r="C3409">
        <v>618.9</v>
      </c>
      <c r="D3409">
        <v>-4.0000000000000002E-4</v>
      </c>
      <c r="E3409">
        <v>-1.0370000000000001E-2</v>
      </c>
    </row>
    <row r="3410" spans="1:5" ht="14.25" customHeight="1">
      <c r="A3410" s="140">
        <v>45568</v>
      </c>
      <c r="B3410">
        <v>82497.100000000006</v>
      </c>
      <c r="C3410">
        <v>580.6</v>
      </c>
      <c r="D3410">
        <v>-2.1219999999999999E-2</v>
      </c>
      <c r="E3410">
        <v>-6.3880000000000006E-2</v>
      </c>
    </row>
    <row r="3411" spans="1:5" ht="14.25" customHeight="1">
      <c r="A3411" s="140">
        <v>45569</v>
      </c>
      <c r="B3411">
        <v>81688.45</v>
      </c>
      <c r="C3411">
        <v>572.15</v>
      </c>
      <c r="D3411">
        <v>-9.8499999999999994E-3</v>
      </c>
      <c r="E3411">
        <v>-1.4659999999999999E-2</v>
      </c>
    </row>
    <row r="3412" spans="1:5" ht="14.25" customHeight="1">
      <c r="A3412" s="140">
        <v>45572</v>
      </c>
      <c r="B3412">
        <v>81050</v>
      </c>
      <c r="C3412">
        <v>569.35</v>
      </c>
      <c r="D3412">
        <v>-7.8499999999999993E-3</v>
      </c>
      <c r="E3412">
        <v>-4.9100000000000003E-3</v>
      </c>
    </row>
    <row r="3413" spans="1:5" ht="14.25" customHeight="1">
      <c r="A3413" s="140">
        <v>45573</v>
      </c>
      <c r="B3413">
        <v>81634.81</v>
      </c>
      <c r="C3413">
        <v>567.15</v>
      </c>
      <c r="D3413">
        <v>7.1900000000000002E-3</v>
      </c>
      <c r="E3413">
        <v>-3.8700000000000002E-3</v>
      </c>
    </row>
    <row r="3414" spans="1:5" ht="14.25" customHeight="1">
      <c r="A3414" s="140">
        <v>45574</v>
      </c>
      <c r="B3414">
        <v>81467.100000000006</v>
      </c>
      <c r="C3414">
        <v>564.79999999999995</v>
      </c>
      <c r="D3414">
        <v>-2.0600000000000002E-3</v>
      </c>
      <c r="E3414">
        <v>-4.15E-3</v>
      </c>
    </row>
    <row r="3415" spans="1:5" ht="14.25" customHeight="1">
      <c r="A3415" s="140">
        <v>45575</v>
      </c>
      <c r="B3415">
        <v>81611.41</v>
      </c>
      <c r="C3415">
        <v>571.9</v>
      </c>
      <c r="D3415">
        <v>1.7700000000000001E-3</v>
      </c>
      <c r="E3415">
        <v>1.2489999999999999E-2</v>
      </c>
    </row>
    <row r="3416" spans="1:5" ht="14.25" customHeight="1">
      <c r="A3416" s="140">
        <v>45576</v>
      </c>
      <c r="B3416">
        <v>81381.36</v>
      </c>
      <c r="C3416">
        <v>570.79999999999995</v>
      </c>
      <c r="D3416">
        <v>-2.82E-3</v>
      </c>
      <c r="E3416">
        <v>-1.9300000000000001E-3</v>
      </c>
    </row>
    <row r="3417" spans="1:5" ht="14.25" customHeight="1">
      <c r="A3417" s="140">
        <v>45579</v>
      </c>
      <c r="B3417">
        <v>81973.05</v>
      </c>
      <c r="C3417">
        <v>567.29999999999995</v>
      </c>
      <c r="D3417">
        <v>7.2399999999999999E-3</v>
      </c>
      <c r="E3417">
        <v>-6.1500000000000001E-3</v>
      </c>
    </row>
    <row r="3418" spans="1:5" ht="14.25" customHeight="1">
      <c r="A3418" s="140">
        <v>45580</v>
      </c>
      <c r="B3418">
        <v>81820.12</v>
      </c>
      <c r="C3418">
        <v>570.95000000000005</v>
      </c>
      <c r="D3418">
        <v>-1.8699999999999999E-3</v>
      </c>
      <c r="E3418">
        <v>6.4099999999999999E-3</v>
      </c>
    </row>
    <row r="3419" spans="1:5" ht="14.25" customHeight="1">
      <c r="A3419" s="140">
        <v>45581</v>
      </c>
      <c r="B3419">
        <v>81501.36</v>
      </c>
      <c r="C3419">
        <v>578.15</v>
      </c>
      <c r="D3419">
        <v>-3.8999999999999998E-3</v>
      </c>
      <c r="E3419">
        <v>1.2529999999999999E-2</v>
      </c>
    </row>
    <row r="3420" spans="1:5" ht="14.25" customHeight="1">
      <c r="A3420" s="140">
        <v>45582</v>
      </c>
      <c r="B3420">
        <v>81006.61</v>
      </c>
      <c r="C3420">
        <v>572.70000000000005</v>
      </c>
      <c r="D3420">
        <v>-6.0899999999999999E-3</v>
      </c>
      <c r="E3420">
        <v>-9.4699999999999993E-3</v>
      </c>
    </row>
    <row r="3421" spans="1:5" ht="14.25" customHeight="1">
      <c r="A3421" s="140">
        <v>45583</v>
      </c>
      <c r="B3421">
        <v>81224.75</v>
      </c>
      <c r="C3421">
        <v>571.29999999999995</v>
      </c>
      <c r="D3421">
        <v>2.6900000000000001E-3</v>
      </c>
      <c r="E3421">
        <v>-2.4499999999999999E-3</v>
      </c>
    </row>
    <row r="3422" spans="1:5" ht="14.25" customHeight="1">
      <c r="A3422" s="140">
        <v>45586</v>
      </c>
      <c r="B3422">
        <v>81151.27</v>
      </c>
      <c r="C3422">
        <v>567.79999999999995</v>
      </c>
      <c r="D3422">
        <v>-9.1E-4</v>
      </c>
      <c r="E3422">
        <v>-6.1500000000000001E-3</v>
      </c>
    </row>
    <row r="3423" spans="1:5" ht="14.25" customHeight="1">
      <c r="A3423" s="140">
        <v>45587</v>
      </c>
      <c r="B3423">
        <v>80220.72</v>
      </c>
      <c r="C3423">
        <v>558.9</v>
      </c>
      <c r="D3423">
        <v>-1.153E-2</v>
      </c>
      <c r="E3423">
        <v>-1.5800000000000002E-2</v>
      </c>
    </row>
    <row r="3424" spans="1:5" ht="14.25" customHeight="1">
      <c r="A3424" s="140">
        <v>45588</v>
      </c>
      <c r="B3424">
        <v>80081.98</v>
      </c>
      <c r="C3424">
        <v>558.45000000000005</v>
      </c>
      <c r="D3424">
        <v>-1.73E-3</v>
      </c>
      <c r="E3424">
        <v>-8.0999999999999996E-4</v>
      </c>
    </row>
    <row r="3425" spans="1:5" ht="14.25" customHeight="1">
      <c r="A3425" s="140">
        <v>45589</v>
      </c>
      <c r="B3425">
        <v>80065.16</v>
      </c>
      <c r="C3425">
        <v>541.25</v>
      </c>
      <c r="D3425">
        <v>-2.1000000000000001E-4</v>
      </c>
      <c r="E3425">
        <v>-3.1280000000000002E-2</v>
      </c>
    </row>
    <row r="3426" spans="1:5" ht="14.25" customHeight="1">
      <c r="A3426" s="140">
        <v>45590</v>
      </c>
      <c r="B3426">
        <v>79402.289999999994</v>
      </c>
      <c r="C3426">
        <v>538.5</v>
      </c>
      <c r="D3426">
        <v>-8.3099999999999997E-3</v>
      </c>
      <c r="E3426">
        <v>-5.0899999999999999E-3</v>
      </c>
    </row>
    <row r="3427" spans="1:5" ht="14.25" customHeight="1">
      <c r="A3427" s="140">
        <v>45593</v>
      </c>
      <c r="B3427">
        <v>80005.039999999994</v>
      </c>
      <c r="C3427">
        <v>553.85</v>
      </c>
      <c r="D3427">
        <v>7.5599999999999999E-3</v>
      </c>
      <c r="E3427">
        <v>2.811E-2</v>
      </c>
    </row>
    <row r="3428" spans="1:5" ht="14.25" customHeight="1">
      <c r="A3428" s="140">
        <v>45594</v>
      </c>
      <c r="B3428">
        <v>80369.03</v>
      </c>
      <c r="C3428">
        <v>535.85</v>
      </c>
      <c r="D3428">
        <v>4.5399999999999998E-3</v>
      </c>
      <c r="E3428">
        <v>-3.304E-2</v>
      </c>
    </row>
    <row r="3429" spans="1:5" ht="14.25" customHeight="1">
      <c r="A3429" s="140">
        <v>45595</v>
      </c>
      <c r="B3429">
        <v>79942.179999999993</v>
      </c>
      <c r="C3429">
        <v>546.95000000000005</v>
      </c>
      <c r="D3429">
        <v>-5.3299999999999997E-3</v>
      </c>
      <c r="E3429">
        <v>2.0500000000000001E-2</v>
      </c>
    </row>
    <row r="3430" spans="1:5" ht="14.25" customHeight="1">
      <c r="A3430" s="140">
        <v>45596</v>
      </c>
      <c r="B3430">
        <v>79389.06</v>
      </c>
      <c r="C3430">
        <v>539.95000000000005</v>
      </c>
      <c r="D3430">
        <v>-6.94E-3</v>
      </c>
      <c r="E3430">
        <v>-1.2880000000000001E-2</v>
      </c>
    </row>
    <row r="3431" spans="1:5" ht="14.25" customHeight="1">
      <c r="A3431" s="140">
        <v>45597</v>
      </c>
      <c r="B3431">
        <v>79724.12</v>
      </c>
      <c r="C3431">
        <v>543.1</v>
      </c>
      <c r="D3431">
        <v>4.2100000000000002E-3</v>
      </c>
      <c r="E3431">
        <v>5.8199999999999997E-3</v>
      </c>
    </row>
    <row r="3432" spans="1:5" ht="14.25" customHeight="1">
      <c r="A3432" s="140">
        <v>45600</v>
      </c>
      <c r="B3432">
        <v>78782.240000000005</v>
      </c>
      <c r="C3432">
        <v>534.95000000000005</v>
      </c>
      <c r="D3432">
        <v>-1.188E-2</v>
      </c>
      <c r="E3432">
        <v>-1.512E-2</v>
      </c>
    </row>
    <row r="3433" spans="1:5" ht="14.25" customHeight="1">
      <c r="A3433" s="140">
        <v>45601</v>
      </c>
      <c r="B3433">
        <v>79476.63</v>
      </c>
      <c r="C3433">
        <v>534.70000000000005</v>
      </c>
      <c r="D3433">
        <v>8.7799999999999996E-3</v>
      </c>
      <c r="E3433">
        <v>-4.6999999999999999E-4</v>
      </c>
    </row>
    <row r="3434" spans="1:5" ht="14.25" customHeight="1">
      <c r="A3434" s="140">
        <v>45602</v>
      </c>
      <c r="B3434">
        <v>80378.13</v>
      </c>
      <c r="C3434">
        <v>539.54999999999995</v>
      </c>
      <c r="D3434">
        <v>1.128E-2</v>
      </c>
      <c r="E3434">
        <v>9.0299999999999998E-3</v>
      </c>
    </row>
    <row r="3435" spans="1:5" ht="14.25" customHeight="1">
      <c r="A3435" s="140">
        <v>45603</v>
      </c>
      <c r="B3435">
        <v>79541.789999999994</v>
      </c>
      <c r="C3435">
        <v>534.29999999999995</v>
      </c>
      <c r="D3435">
        <v>-1.0460000000000001E-2</v>
      </c>
      <c r="E3435">
        <v>-9.7800000000000005E-3</v>
      </c>
    </row>
    <row r="3436" spans="1:5" ht="14.25" customHeight="1">
      <c r="A3436" s="140">
        <v>45604</v>
      </c>
      <c r="B3436">
        <v>79486.320000000007</v>
      </c>
      <c r="C3436">
        <v>531.6</v>
      </c>
      <c r="D3436">
        <v>-6.9999999999999999E-4</v>
      </c>
      <c r="E3436">
        <v>-5.0699999999999999E-3</v>
      </c>
    </row>
    <row r="3437" spans="1:5" ht="14.25" customHeight="1">
      <c r="A3437" s="140">
        <v>45607</v>
      </c>
      <c r="B3437">
        <v>79496.149999999994</v>
      </c>
      <c r="C3437">
        <v>522.95000000000005</v>
      </c>
      <c r="D3437">
        <v>1.2E-4</v>
      </c>
      <c r="E3437">
        <v>-1.6410000000000001E-2</v>
      </c>
    </row>
    <row r="3438" spans="1:5" ht="14.25" customHeight="1">
      <c r="A3438" s="140">
        <v>45608</v>
      </c>
      <c r="B3438">
        <v>78675.179999999993</v>
      </c>
      <c r="C3438">
        <v>511.05</v>
      </c>
      <c r="D3438">
        <v>-1.038E-2</v>
      </c>
      <c r="E3438">
        <v>-2.3019999999999999E-2</v>
      </c>
    </row>
    <row r="3439" spans="1:5" ht="14.25" customHeight="1">
      <c r="A3439" s="140">
        <v>45609</v>
      </c>
      <c r="B3439">
        <v>77690.95</v>
      </c>
      <c r="C3439">
        <v>510.75</v>
      </c>
      <c r="D3439">
        <v>-1.259E-2</v>
      </c>
      <c r="E3439">
        <v>-5.9000000000000003E-4</v>
      </c>
    </row>
    <row r="3440" spans="1:5" ht="14.25" customHeight="1">
      <c r="A3440" s="140">
        <v>45610</v>
      </c>
      <c r="B3440">
        <v>77580.31</v>
      </c>
      <c r="C3440">
        <v>507.45</v>
      </c>
      <c r="D3440">
        <v>-1.4300000000000001E-3</v>
      </c>
      <c r="E3440">
        <v>-6.4799999999999996E-3</v>
      </c>
    </row>
    <row r="3441" spans="1:5" ht="14.25" customHeight="1">
      <c r="A3441" s="140">
        <v>45614</v>
      </c>
      <c r="B3441">
        <v>77339.009999999995</v>
      </c>
      <c r="C3441">
        <v>508.2</v>
      </c>
      <c r="D3441">
        <v>-3.1199999999999999E-3</v>
      </c>
      <c r="E3441">
        <v>1.48E-3</v>
      </c>
    </row>
    <row r="3442" spans="1:5" ht="14.25" customHeight="1">
      <c r="A3442" s="140">
        <v>45615</v>
      </c>
      <c r="B3442">
        <v>77578.38</v>
      </c>
      <c r="C3442">
        <v>508.25</v>
      </c>
      <c r="D3442">
        <v>3.0899999999999999E-3</v>
      </c>
      <c r="E3442">
        <v>1E-4</v>
      </c>
    </row>
    <row r="3443" spans="1:5" ht="14.25" customHeight="1">
      <c r="A3443" s="140">
        <v>45617</v>
      </c>
      <c r="B3443">
        <v>77155.789999999994</v>
      </c>
      <c r="C3443">
        <v>505.8</v>
      </c>
      <c r="D3443">
        <v>-5.4599999999999996E-3</v>
      </c>
      <c r="E3443">
        <v>-4.8300000000000001E-3</v>
      </c>
    </row>
    <row r="3444" spans="1:5" ht="14.25" customHeight="1">
      <c r="A3444" s="140">
        <v>45618</v>
      </c>
      <c r="B3444">
        <v>79117.11</v>
      </c>
      <c r="C3444">
        <v>512.9</v>
      </c>
      <c r="D3444">
        <v>2.5100000000000001E-2</v>
      </c>
      <c r="E3444">
        <v>1.3939999999999999E-2</v>
      </c>
    </row>
    <row r="3445" spans="1:5" ht="14.25" customHeight="1">
      <c r="A3445" s="140">
        <v>45621</v>
      </c>
      <c r="B3445">
        <v>80109.850000000006</v>
      </c>
      <c r="C3445">
        <v>521.65</v>
      </c>
      <c r="D3445">
        <v>1.247E-2</v>
      </c>
      <c r="E3445">
        <v>1.6920000000000001E-2</v>
      </c>
    </row>
    <row r="3446" spans="1:5" ht="14.25" customHeight="1">
      <c r="A3446" s="140">
        <v>45622</v>
      </c>
      <c r="B3446">
        <v>80004.06</v>
      </c>
      <c r="C3446">
        <v>525.25</v>
      </c>
      <c r="D3446">
        <v>-1.32E-3</v>
      </c>
      <c r="E3446">
        <v>6.8799999999999998E-3</v>
      </c>
    </row>
    <row r="3447" spans="1:5" ht="14.25" customHeight="1">
      <c r="A3447" s="140">
        <v>45623</v>
      </c>
      <c r="B3447">
        <v>80234.080000000002</v>
      </c>
      <c r="C3447">
        <v>527.4</v>
      </c>
      <c r="D3447">
        <v>2.8700000000000002E-3</v>
      </c>
      <c r="E3447">
        <v>4.0800000000000003E-3</v>
      </c>
    </row>
    <row r="3448" spans="1:5" ht="14.25" customHeight="1">
      <c r="A3448" s="140">
        <v>45624</v>
      </c>
      <c r="B3448">
        <v>79043.740000000005</v>
      </c>
      <c r="C3448">
        <v>526.04999999999995</v>
      </c>
      <c r="D3448">
        <v>-1.495E-2</v>
      </c>
      <c r="E3448">
        <v>-2.5600000000000002E-3</v>
      </c>
    </row>
    <row r="3449" spans="1:5" ht="14.25" customHeight="1">
      <c r="A3449" s="140">
        <v>45625</v>
      </c>
      <c r="B3449">
        <v>79802.789999999994</v>
      </c>
      <c r="C3449">
        <v>527.04999999999995</v>
      </c>
      <c r="D3449">
        <v>9.5600000000000008E-3</v>
      </c>
      <c r="E3449">
        <v>1.9E-3</v>
      </c>
    </row>
    <row r="3450" spans="1:5" ht="14.25" customHeight="1">
      <c r="A3450" s="140">
        <v>45628</v>
      </c>
      <c r="B3450">
        <v>80248.08</v>
      </c>
      <c r="C3450">
        <v>524.5</v>
      </c>
      <c r="D3450">
        <v>5.5599999999999998E-3</v>
      </c>
      <c r="E3450">
        <v>-4.8500000000000001E-3</v>
      </c>
    </row>
    <row r="3451" spans="1:5" ht="14.25" customHeight="1">
      <c r="A3451" s="140">
        <v>45629</v>
      </c>
      <c r="B3451">
        <v>80845.75</v>
      </c>
      <c r="C3451">
        <v>522.79999999999995</v>
      </c>
      <c r="D3451">
        <v>7.4200000000000004E-3</v>
      </c>
      <c r="E3451">
        <v>-3.2499999999999999E-3</v>
      </c>
    </row>
    <row r="3452" spans="1:5" ht="14.25" customHeight="1">
      <c r="A3452" s="140">
        <v>45630</v>
      </c>
      <c r="B3452">
        <v>80956.33</v>
      </c>
      <c r="C3452">
        <v>522.35</v>
      </c>
      <c r="D3452">
        <v>1.3699999999999999E-3</v>
      </c>
      <c r="E3452">
        <v>-8.5999999999999998E-4</v>
      </c>
    </row>
    <row r="3453" spans="1:5" ht="14.25" customHeight="1">
      <c r="A3453" s="140">
        <v>45631</v>
      </c>
      <c r="B3453">
        <v>81765.86</v>
      </c>
      <c r="C3453">
        <v>521.9</v>
      </c>
      <c r="D3453">
        <v>9.9500000000000005E-3</v>
      </c>
      <c r="E3453">
        <v>-8.5999999999999998E-4</v>
      </c>
    </row>
    <row r="3454" spans="1:5" ht="14.25" customHeight="1">
      <c r="A3454" s="140">
        <v>45632</v>
      </c>
      <c r="B3454">
        <v>81709.119999999995</v>
      </c>
      <c r="C3454">
        <v>523.54999999999995</v>
      </c>
      <c r="D3454">
        <v>-6.8999999999999997E-4</v>
      </c>
      <c r="E3454">
        <v>3.16E-3</v>
      </c>
    </row>
    <row r="3455" spans="1:5" ht="14.25" customHeight="1">
      <c r="A3455" s="140">
        <v>45635</v>
      </c>
      <c r="B3455">
        <v>81508.460000000006</v>
      </c>
      <c r="C3455">
        <v>506.95</v>
      </c>
      <c r="D3455">
        <v>-2.4599999999999999E-3</v>
      </c>
      <c r="E3455">
        <v>-3.2219999999999999E-2</v>
      </c>
    </row>
    <row r="3456" spans="1:5" ht="14.25" customHeight="1">
      <c r="A3456" s="140">
        <v>45636</v>
      </c>
      <c r="B3456">
        <v>81510.05</v>
      </c>
      <c r="C3456">
        <v>507.1</v>
      </c>
      <c r="D3456">
        <v>2.0000000000000002E-5</v>
      </c>
      <c r="E3456">
        <v>2.9999999999999997E-4</v>
      </c>
    </row>
    <row r="3457" spans="1:5" ht="14.25" customHeight="1">
      <c r="A3457" s="140">
        <v>45637</v>
      </c>
      <c r="B3457">
        <v>81526.14</v>
      </c>
      <c r="C3457">
        <v>508.9</v>
      </c>
      <c r="D3457">
        <v>2.0000000000000001E-4</v>
      </c>
      <c r="E3457">
        <v>3.5400000000000002E-3</v>
      </c>
    </row>
    <row r="3458" spans="1:5" ht="14.25" customHeight="1">
      <c r="A3458" s="140">
        <v>45638</v>
      </c>
      <c r="B3458">
        <v>81289.960000000006</v>
      </c>
      <c r="C3458">
        <v>506.9</v>
      </c>
      <c r="D3458">
        <v>-2.8999999999999998E-3</v>
      </c>
      <c r="E3458">
        <v>-3.9399999999999999E-3</v>
      </c>
    </row>
    <row r="3459" spans="1:5" ht="14.25" customHeight="1">
      <c r="A3459" s="140">
        <v>45639</v>
      </c>
      <c r="B3459">
        <v>82133.119999999995</v>
      </c>
      <c r="C3459">
        <v>512.6</v>
      </c>
      <c r="D3459">
        <v>1.0319999999999999E-2</v>
      </c>
      <c r="E3459">
        <v>1.1180000000000001E-2</v>
      </c>
    </row>
    <row r="3460" spans="1:5" ht="14.25" customHeight="1">
      <c r="A3460" s="140">
        <v>45642</v>
      </c>
      <c r="B3460">
        <v>81748.570000000007</v>
      </c>
      <c r="C3460">
        <v>510.1</v>
      </c>
      <c r="D3460">
        <v>-4.6899999999999997E-3</v>
      </c>
      <c r="E3460">
        <v>-4.8900000000000002E-3</v>
      </c>
    </row>
    <row r="3461" spans="1:5" ht="14.25" customHeight="1">
      <c r="A3461" s="140">
        <v>45643</v>
      </c>
      <c r="B3461">
        <v>80684.45</v>
      </c>
      <c r="C3461">
        <v>505.95</v>
      </c>
      <c r="D3461">
        <v>-1.3100000000000001E-2</v>
      </c>
      <c r="E3461">
        <v>-8.1700000000000002E-3</v>
      </c>
    </row>
    <row r="3462" spans="1:5" ht="14.25" customHeight="1">
      <c r="A3462" s="140">
        <v>45644</v>
      </c>
      <c r="B3462">
        <v>80182.2</v>
      </c>
      <c r="C3462">
        <v>505.4</v>
      </c>
      <c r="D3462">
        <v>-6.2399999999999999E-3</v>
      </c>
      <c r="E3462">
        <v>-1.09E-3</v>
      </c>
    </row>
    <row r="3463" spans="1:5" ht="14.25" customHeight="1">
      <c r="A3463" s="140">
        <v>45645</v>
      </c>
      <c r="B3463">
        <v>79218.05</v>
      </c>
      <c r="C3463">
        <v>504</v>
      </c>
      <c r="D3463">
        <v>-1.21E-2</v>
      </c>
      <c r="E3463">
        <v>-2.7699999999999999E-3</v>
      </c>
    </row>
    <row r="3464" spans="1:5" ht="14.25" customHeight="1">
      <c r="A3464" s="140">
        <v>45646</v>
      </c>
      <c r="B3464">
        <v>78041.59</v>
      </c>
      <c r="C3464">
        <v>501.9</v>
      </c>
      <c r="D3464">
        <v>-1.4959999999999999E-2</v>
      </c>
      <c r="E3464">
        <v>-4.1799999999999997E-3</v>
      </c>
    </row>
    <row r="3465" spans="1:5" ht="14.25" customHeight="1">
      <c r="A3465" s="140">
        <v>45649</v>
      </c>
      <c r="B3465">
        <v>78540.17</v>
      </c>
      <c r="C3465">
        <v>510.1</v>
      </c>
      <c r="D3465">
        <v>6.3699999999999998E-3</v>
      </c>
      <c r="E3465">
        <v>1.6209999999999999E-2</v>
      </c>
    </row>
    <row r="3466" spans="1:5" ht="14.25" customHeight="1">
      <c r="A3466" s="140">
        <v>45650</v>
      </c>
      <c r="B3466">
        <v>78472.87</v>
      </c>
      <c r="C3466">
        <v>509.9</v>
      </c>
      <c r="D3466">
        <v>-8.5999999999999998E-4</v>
      </c>
      <c r="E3466">
        <v>-3.8999999999999999E-4</v>
      </c>
    </row>
    <row r="3467" spans="1:5" ht="14.25" customHeight="1">
      <c r="A3467" s="140">
        <v>45652</v>
      </c>
      <c r="B3467">
        <v>78472.479999999996</v>
      </c>
      <c r="C3467">
        <v>505.75</v>
      </c>
      <c r="D3467">
        <v>0</v>
      </c>
      <c r="E3467">
        <v>-8.1700000000000002E-3</v>
      </c>
    </row>
    <row r="3468" spans="1:5" ht="14.25" customHeight="1">
      <c r="A3468" s="140">
        <v>45653</v>
      </c>
      <c r="B3468">
        <v>78699.070000000007</v>
      </c>
      <c r="C3468">
        <v>507.35</v>
      </c>
      <c r="D3468">
        <v>2.8800000000000002E-3</v>
      </c>
      <c r="E3468">
        <v>3.16E-3</v>
      </c>
    </row>
    <row r="3469" spans="1:5" ht="14.25" customHeight="1">
      <c r="A3469" s="140">
        <v>45656</v>
      </c>
      <c r="B3469">
        <v>78248.13</v>
      </c>
      <c r="C3469">
        <v>506</v>
      </c>
      <c r="D3469">
        <v>-5.7499999999999999E-3</v>
      </c>
      <c r="E3469">
        <v>-2.66E-3</v>
      </c>
    </row>
    <row r="3470" spans="1:5" ht="14.25" customHeight="1">
      <c r="A3470" s="140">
        <v>45657</v>
      </c>
      <c r="B3470">
        <v>78139.009999999995</v>
      </c>
      <c r="C3470">
        <v>506.85</v>
      </c>
      <c r="D3470">
        <v>-1.4E-3</v>
      </c>
      <c r="E3470">
        <v>1.6800000000000001E-3</v>
      </c>
    </row>
    <row r="3471" spans="1:5" ht="14.25" customHeight="1">
      <c r="A3471" s="140">
        <v>45658</v>
      </c>
      <c r="B3471">
        <v>78507.41</v>
      </c>
      <c r="C3471">
        <v>511</v>
      </c>
      <c r="D3471">
        <v>4.7000000000000002E-3</v>
      </c>
      <c r="E3471">
        <v>8.1499999999999993E-3</v>
      </c>
    </row>
    <row r="3472" spans="1:5" ht="14.25" customHeight="1">
      <c r="A3472" s="140">
        <v>45659</v>
      </c>
      <c r="B3472">
        <v>79943.710000000006</v>
      </c>
      <c r="C3472">
        <v>513.29999999999995</v>
      </c>
      <c r="D3472">
        <v>1.813E-2</v>
      </c>
      <c r="E3472">
        <v>4.4900000000000001E-3</v>
      </c>
    </row>
    <row r="3473" spans="1:5" ht="14.25" customHeight="1">
      <c r="A3473" s="140">
        <v>45660</v>
      </c>
      <c r="B3473">
        <v>79223.11</v>
      </c>
      <c r="C3473">
        <v>525.04999999999995</v>
      </c>
      <c r="D3473">
        <v>-9.0500000000000008E-3</v>
      </c>
      <c r="E3473">
        <v>2.2630000000000001E-2</v>
      </c>
    </row>
    <row r="3474" spans="1:5" ht="14.25" customHeight="1">
      <c r="A3474" s="140">
        <v>45663</v>
      </c>
      <c r="B3474">
        <v>77964.990000000005</v>
      </c>
      <c r="C3474">
        <v>504.8</v>
      </c>
      <c r="D3474">
        <v>-1.601E-2</v>
      </c>
      <c r="E3474">
        <v>-3.9329999999999997E-2</v>
      </c>
    </row>
    <row r="3475" spans="1:5" ht="14.25" customHeight="1">
      <c r="A3475" s="140">
        <v>45664</v>
      </c>
      <c r="B3475">
        <v>78199.11</v>
      </c>
      <c r="C3475">
        <v>509.15</v>
      </c>
      <c r="D3475">
        <v>3.0000000000000001E-3</v>
      </c>
      <c r="E3475">
        <v>8.5800000000000008E-3</v>
      </c>
    </row>
    <row r="3476" spans="1:5" ht="14.25" customHeight="1">
      <c r="A3476" s="140">
        <v>45665</v>
      </c>
      <c r="B3476">
        <v>78148.490000000005</v>
      </c>
      <c r="C3476">
        <v>513.70000000000005</v>
      </c>
      <c r="D3476">
        <v>-6.4999999999999997E-4</v>
      </c>
      <c r="E3476">
        <v>8.8999999999999999E-3</v>
      </c>
    </row>
    <row r="3477" spans="1:5" ht="14.25" customHeight="1">
      <c r="A3477" s="140">
        <v>45666</v>
      </c>
      <c r="B3477">
        <v>77620.210000000006</v>
      </c>
      <c r="C3477">
        <v>521.04999999999995</v>
      </c>
      <c r="D3477">
        <v>-6.7799999999999996E-3</v>
      </c>
      <c r="E3477">
        <v>1.421E-2</v>
      </c>
    </row>
    <row r="3478" spans="1:5" ht="14.25" customHeight="1">
      <c r="A3478" s="140">
        <v>45667</v>
      </c>
      <c r="B3478">
        <v>77378.91</v>
      </c>
      <c r="C3478">
        <v>517.79999999999995</v>
      </c>
      <c r="D3478">
        <v>-3.1099999999999999E-3</v>
      </c>
      <c r="E3478">
        <v>-6.2599999999999999E-3</v>
      </c>
    </row>
    <row r="3479" spans="1:5" ht="14.25" customHeight="1">
      <c r="A3479" s="140">
        <v>45670</v>
      </c>
      <c r="B3479">
        <v>76330.009999999995</v>
      </c>
      <c r="C3479">
        <v>510.8</v>
      </c>
      <c r="D3479">
        <v>-1.3650000000000001E-2</v>
      </c>
      <c r="E3479">
        <v>-1.3610000000000001E-2</v>
      </c>
    </row>
    <row r="3480" spans="1:5" ht="14.25" customHeight="1">
      <c r="A3480" s="140">
        <v>45671</v>
      </c>
      <c r="B3480">
        <v>76499.63</v>
      </c>
      <c r="C3480">
        <v>512.95000000000005</v>
      </c>
      <c r="D3480">
        <v>2.2200000000000002E-3</v>
      </c>
      <c r="E3480">
        <v>4.1999999999999997E-3</v>
      </c>
    </row>
    <row r="3481" spans="1:5" ht="14.25" customHeight="1">
      <c r="A3481" s="140">
        <v>45672</v>
      </c>
      <c r="B3481">
        <v>76724.08</v>
      </c>
      <c r="C3481">
        <v>514.70000000000005</v>
      </c>
      <c r="D3481">
        <v>2.9299999999999999E-3</v>
      </c>
      <c r="E3481">
        <v>3.4099999999999998E-3</v>
      </c>
    </row>
    <row r="3482" spans="1:5" ht="14.25" customHeight="1">
      <c r="A3482" s="140">
        <v>45673</v>
      </c>
      <c r="B3482">
        <v>77042.820000000007</v>
      </c>
      <c r="C3482">
        <v>522.45000000000005</v>
      </c>
      <c r="D3482">
        <v>4.15E-3</v>
      </c>
      <c r="E3482">
        <v>1.495E-2</v>
      </c>
    </row>
    <row r="3483" spans="1:5" ht="14.25" customHeight="1">
      <c r="A3483" s="140">
        <v>45674</v>
      </c>
      <c r="B3483">
        <v>76619.33</v>
      </c>
      <c r="C3483">
        <v>525.95000000000005</v>
      </c>
      <c r="D3483">
        <v>-5.5100000000000001E-3</v>
      </c>
      <c r="E3483">
        <v>6.6800000000000002E-3</v>
      </c>
    </row>
    <row r="3484" spans="1:5" ht="14.25" customHeight="1">
      <c r="A3484" s="140">
        <v>45677</v>
      </c>
      <c r="B3484">
        <v>77073.440000000002</v>
      </c>
      <c r="C3484">
        <v>521.29999999999995</v>
      </c>
      <c r="D3484">
        <v>5.9100000000000003E-3</v>
      </c>
      <c r="E3484">
        <v>-8.8800000000000007E-3</v>
      </c>
    </row>
    <row r="3485" spans="1:5" ht="14.25" customHeight="1">
      <c r="A3485" s="140">
        <v>45678</v>
      </c>
      <c r="B3485">
        <v>75838.36</v>
      </c>
      <c r="C3485">
        <v>521.15</v>
      </c>
      <c r="D3485">
        <v>-1.6150000000000001E-2</v>
      </c>
      <c r="E3485">
        <v>-2.9E-4</v>
      </c>
    </row>
    <row r="3486" spans="1:5" ht="14.25" customHeight="1">
      <c r="A3486" s="140">
        <v>45679</v>
      </c>
      <c r="B3486">
        <v>76404.990000000005</v>
      </c>
      <c r="C3486">
        <v>520.79999999999995</v>
      </c>
      <c r="D3486">
        <v>7.4400000000000004E-3</v>
      </c>
      <c r="E3486">
        <v>-6.7000000000000002E-4</v>
      </c>
    </row>
    <row r="3487" spans="1:5" ht="14.25" customHeight="1">
      <c r="A3487" s="140">
        <v>45680</v>
      </c>
      <c r="B3487">
        <v>76520.38</v>
      </c>
      <c r="C3487">
        <v>524.15</v>
      </c>
      <c r="D3487">
        <v>1.5100000000000001E-3</v>
      </c>
      <c r="E3487">
        <v>6.4099999999999999E-3</v>
      </c>
    </row>
    <row r="3488" spans="1:5" ht="14.25" customHeight="1">
      <c r="A3488" s="140">
        <v>45681</v>
      </c>
      <c r="B3488">
        <v>76190.460000000006</v>
      </c>
      <c r="C3488">
        <v>521.9</v>
      </c>
      <c r="D3488">
        <v>-4.3200000000000001E-3</v>
      </c>
      <c r="E3488">
        <v>-4.3E-3</v>
      </c>
    </row>
    <row r="3489" spans="1:5" ht="14.25" customHeight="1">
      <c r="A3489" s="140">
        <v>45684</v>
      </c>
      <c r="B3489">
        <v>75366.17</v>
      </c>
      <c r="C3489">
        <v>523.29999999999995</v>
      </c>
      <c r="D3489">
        <v>-1.0880000000000001E-2</v>
      </c>
      <c r="E3489">
        <v>2.6800000000000001E-3</v>
      </c>
    </row>
    <row r="3490" spans="1:5" ht="14.25" customHeight="1">
      <c r="A3490" s="140">
        <v>45685</v>
      </c>
      <c r="B3490">
        <v>75901.41</v>
      </c>
      <c r="C3490">
        <v>524.25</v>
      </c>
      <c r="D3490">
        <v>7.0800000000000004E-3</v>
      </c>
      <c r="E3490">
        <v>1.81E-3</v>
      </c>
    </row>
    <row r="3491" spans="1:5" ht="14.25" customHeight="1">
      <c r="A3491" s="140">
        <v>45686</v>
      </c>
      <c r="B3491">
        <v>76532.960000000006</v>
      </c>
      <c r="C3491">
        <v>518.15</v>
      </c>
      <c r="D3491">
        <v>8.2900000000000005E-3</v>
      </c>
      <c r="E3491">
        <v>-1.17E-2</v>
      </c>
    </row>
    <row r="3492" spans="1:5" ht="14.25" customHeight="1">
      <c r="A3492" s="140">
        <v>45687</v>
      </c>
      <c r="B3492">
        <v>76759.81</v>
      </c>
      <c r="C3492">
        <v>533.70000000000005</v>
      </c>
      <c r="D3492">
        <v>2.96E-3</v>
      </c>
      <c r="E3492">
        <v>2.9569999999999999E-2</v>
      </c>
    </row>
    <row r="3493" spans="1:5" ht="14.25" customHeight="1">
      <c r="A3493" s="140">
        <v>45688</v>
      </c>
      <c r="B3493">
        <v>77500.570000000007</v>
      </c>
      <c r="C3493">
        <v>529.4</v>
      </c>
      <c r="D3493">
        <v>9.5999999999999992E-3</v>
      </c>
      <c r="E3493">
        <v>-8.09E-3</v>
      </c>
    </row>
    <row r="3494" spans="1:5" ht="14.25" customHeight="1">
      <c r="A3494" s="140">
        <v>45689</v>
      </c>
      <c r="B3494">
        <v>77505.960000000006</v>
      </c>
      <c r="C3494">
        <v>538</v>
      </c>
      <c r="D3494">
        <v>6.9999999999999994E-5</v>
      </c>
      <c r="E3494">
        <v>1.6109999999999999E-2</v>
      </c>
    </row>
    <row r="3495" spans="1:5" ht="14.25" customHeight="1">
      <c r="A3495" s="140">
        <v>45691</v>
      </c>
      <c r="B3495">
        <v>77186.740000000005</v>
      </c>
      <c r="C3495">
        <v>534.4</v>
      </c>
      <c r="D3495">
        <v>-4.13E-3</v>
      </c>
      <c r="E3495">
        <v>-6.7099999999999998E-3</v>
      </c>
    </row>
    <row r="3496" spans="1:5" ht="14.25" customHeight="1">
      <c r="A3496" s="140">
        <v>45692</v>
      </c>
      <c r="B3496">
        <v>78583.81</v>
      </c>
      <c r="C3496">
        <v>541.25</v>
      </c>
      <c r="D3496">
        <v>1.7940000000000001E-2</v>
      </c>
      <c r="E3496">
        <v>1.274E-2</v>
      </c>
    </row>
    <row r="3497" spans="1:5" ht="14.25" customHeight="1">
      <c r="A3497" s="140">
        <v>45693</v>
      </c>
      <c r="B3497">
        <v>78271.28</v>
      </c>
      <c r="C3497">
        <v>531.45000000000005</v>
      </c>
      <c r="D3497">
        <v>-3.98E-3</v>
      </c>
      <c r="E3497">
        <v>-1.8270000000000002E-2</v>
      </c>
    </row>
    <row r="3498" spans="1:5" ht="14.25" customHeight="1">
      <c r="A3498" s="140">
        <v>45694</v>
      </c>
      <c r="B3498">
        <v>78058.16</v>
      </c>
      <c r="C3498">
        <v>526.20000000000005</v>
      </c>
      <c r="D3498">
        <v>-2.7299999999999998E-3</v>
      </c>
      <c r="E3498">
        <v>-9.9299999999999996E-3</v>
      </c>
    </row>
    <row r="3499" spans="1:5" ht="14.25" customHeight="1">
      <c r="A3499" s="140">
        <v>45695</v>
      </c>
      <c r="B3499">
        <v>77860.19</v>
      </c>
      <c r="C3499">
        <v>527.25</v>
      </c>
      <c r="D3499">
        <v>-2.5400000000000002E-3</v>
      </c>
      <c r="E3499">
        <v>1.99E-3</v>
      </c>
    </row>
    <row r="3500" spans="1:5" ht="14.25" customHeight="1">
      <c r="A3500" s="140">
        <v>45698</v>
      </c>
      <c r="B3500">
        <v>77311.8</v>
      </c>
      <c r="C3500">
        <v>528.35</v>
      </c>
      <c r="D3500">
        <v>-7.0699999999999999E-3</v>
      </c>
      <c r="E3500">
        <v>2.0799999999999998E-3</v>
      </c>
    </row>
    <row r="3501" spans="1:5" ht="14.25" customHeight="1">
      <c r="A3501" s="140">
        <v>45699</v>
      </c>
      <c r="B3501">
        <v>76293.600000000006</v>
      </c>
      <c r="C3501">
        <v>517.54999999999995</v>
      </c>
      <c r="D3501">
        <v>-1.3259999999999999E-2</v>
      </c>
      <c r="E3501">
        <v>-2.0650000000000002E-2</v>
      </c>
    </row>
    <row r="3502" spans="1:5" ht="14.25" customHeight="1">
      <c r="A3502" s="140">
        <v>45700</v>
      </c>
      <c r="B3502">
        <v>76171.08</v>
      </c>
      <c r="C3502">
        <v>525.5</v>
      </c>
      <c r="D3502">
        <v>-1.6100000000000001E-3</v>
      </c>
      <c r="E3502">
        <v>1.524E-2</v>
      </c>
    </row>
    <row r="3503" spans="1:5" ht="14.25" customHeight="1">
      <c r="A3503" s="140">
        <v>45701</v>
      </c>
      <c r="B3503">
        <v>76138.97</v>
      </c>
      <c r="C3503">
        <v>519.9</v>
      </c>
      <c r="D3503">
        <v>-4.2000000000000002E-4</v>
      </c>
      <c r="E3503">
        <v>-1.0710000000000001E-2</v>
      </c>
    </row>
    <row r="3504" spans="1:5" ht="14.25" customHeight="1">
      <c r="A3504" s="140">
        <v>45702</v>
      </c>
      <c r="B3504">
        <v>75939.210000000006</v>
      </c>
      <c r="C3504">
        <v>519.79999999999995</v>
      </c>
      <c r="D3504">
        <v>-2.63E-3</v>
      </c>
      <c r="E3504">
        <v>-1.9000000000000001E-4</v>
      </c>
    </row>
    <row r="3505" spans="1:5" ht="14.25" customHeight="1">
      <c r="A3505" s="140">
        <v>45705</v>
      </c>
      <c r="B3505">
        <v>75996.86</v>
      </c>
      <c r="C3505">
        <v>520.70000000000005</v>
      </c>
      <c r="D3505">
        <v>7.6000000000000004E-4</v>
      </c>
      <c r="E3505">
        <v>1.73E-3</v>
      </c>
    </row>
    <row r="3506" spans="1:5" ht="14.25" customHeight="1">
      <c r="A3506" s="140">
        <v>45706</v>
      </c>
      <c r="B3506">
        <v>75967.39</v>
      </c>
      <c r="C3506">
        <v>515</v>
      </c>
      <c r="D3506">
        <v>-3.8999999999999999E-4</v>
      </c>
      <c r="E3506">
        <v>-1.1010000000000001E-2</v>
      </c>
    </row>
    <row r="3507" spans="1:5" ht="14.25" customHeight="1">
      <c r="A3507" s="140">
        <v>45707</v>
      </c>
      <c r="B3507">
        <v>75939.179999999993</v>
      </c>
      <c r="C3507">
        <v>504.55</v>
      </c>
      <c r="D3507">
        <v>-3.6999999999999999E-4</v>
      </c>
      <c r="E3507">
        <v>-2.0500000000000001E-2</v>
      </c>
    </row>
    <row r="3508" spans="1:5" ht="14.25" customHeight="1">
      <c r="A3508" s="140">
        <v>45708</v>
      </c>
      <c r="B3508">
        <v>75735.960000000006</v>
      </c>
      <c r="C3508">
        <v>510.25</v>
      </c>
      <c r="D3508">
        <v>-2.6800000000000001E-3</v>
      </c>
      <c r="E3508">
        <v>1.123E-2</v>
      </c>
    </row>
    <row r="3509" spans="1:5" ht="14.25" customHeight="1">
      <c r="A3509" s="140">
        <v>45709</v>
      </c>
      <c r="B3509">
        <v>75311.06</v>
      </c>
      <c r="C3509">
        <v>508.35</v>
      </c>
      <c r="D3509">
        <v>-5.6299999999999996E-3</v>
      </c>
      <c r="E3509">
        <v>-3.7299999999999998E-3</v>
      </c>
    </row>
    <row r="3510" spans="1:5" ht="14.25" customHeight="1">
      <c r="A3510" s="140">
        <v>45712</v>
      </c>
      <c r="B3510">
        <v>74454.41</v>
      </c>
      <c r="C3510">
        <v>505.55</v>
      </c>
      <c r="D3510">
        <v>-1.1440000000000001E-2</v>
      </c>
      <c r="E3510">
        <v>-5.5199999999999997E-3</v>
      </c>
    </row>
    <row r="3511" spans="1:5" ht="14.25" customHeight="1">
      <c r="A3511" s="140">
        <v>45713</v>
      </c>
      <c r="B3511">
        <v>74602.12</v>
      </c>
      <c r="C3511">
        <v>510.15</v>
      </c>
      <c r="D3511">
        <v>1.98E-3</v>
      </c>
      <c r="E3511">
        <v>9.0600000000000003E-3</v>
      </c>
    </row>
    <row r="3512" spans="1:5" ht="14.25" customHeight="1">
      <c r="A3512" s="140">
        <v>45715</v>
      </c>
      <c r="B3512">
        <v>74612.429999999993</v>
      </c>
      <c r="C3512">
        <v>503.65</v>
      </c>
      <c r="D3512">
        <v>1.3999999999999999E-4</v>
      </c>
      <c r="E3512">
        <v>-1.282E-2</v>
      </c>
    </row>
    <row r="3513" spans="1:5" ht="14.25" customHeight="1">
      <c r="A3513" s="140">
        <v>45716</v>
      </c>
      <c r="B3513">
        <v>73198.100000000006</v>
      </c>
      <c r="C3513">
        <v>494.15</v>
      </c>
      <c r="D3513">
        <v>-1.9140000000000001E-2</v>
      </c>
      <c r="E3513">
        <v>-1.9040000000000001E-2</v>
      </c>
    </row>
    <row r="3514" spans="1:5" ht="14.25" customHeight="1">
      <c r="A3514" s="140">
        <v>45719</v>
      </c>
      <c r="B3514">
        <v>73085.94</v>
      </c>
      <c r="C3514">
        <v>491.35</v>
      </c>
      <c r="D3514">
        <v>-1.5299999999999999E-3</v>
      </c>
      <c r="E3514">
        <v>-5.6800000000000002E-3</v>
      </c>
    </row>
    <row r="3515" spans="1:5" ht="14.25" customHeight="1">
      <c r="A3515" s="140">
        <v>45720</v>
      </c>
      <c r="B3515">
        <v>72989.929999999993</v>
      </c>
      <c r="C3515">
        <v>483.35</v>
      </c>
      <c r="D3515">
        <v>-1.31E-3</v>
      </c>
      <c r="E3515">
        <v>-1.6420000000000001E-2</v>
      </c>
    </row>
    <row r="3516" spans="1:5" ht="14.25" customHeight="1">
      <c r="A3516" s="140">
        <v>45721</v>
      </c>
      <c r="B3516">
        <v>73730.23</v>
      </c>
      <c r="C3516">
        <v>488.1</v>
      </c>
      <c r="D3516">
        <v>1.009E-2</v>
      </c>
      <c r="E3516">
        <v>9.7800000000000005E-3</v>
      </c>
    </row>
    <row r="3517" spans="1:5" ht="14.25" customHeight="1">
      <c r="A3517" s="140">
        <v>45722</v>
      </c>
      <c r="B3517">
        <v>74340.09</v>
      </c>
      <c r="C3517">
        <v>495.05</v>
      </c>
      <c r="D3517">
        <v>8.2400000000000008E-3</v>
      </c>
      <c r="E3517">
        <v>1.414E-2</v>
      </c>
    </row>
    <row r="3518" spans="1:5" ht="14.25" customHeight="1">
      <c r="A3518" s="140">
        <v>45723</v>
      </c>
      <c r="B3518">
        <v>74332.58</v>
      </c>
      <c r="C3518">
        <v>495.5</v>
      </c>
      <c r="D3518">
        <v>-1E-4</v>
      </c>
      <c r="E3518">
        <v>9.1E-4</v>
      </c>
    </row>
    <row r="3519" spans="1:5" ht="14.25" customHeight="1">
      <c r="A3519" s="140">
        <v>45726</v>
      </c>
      <c r="B3519">
        <v>74115.17</v>
      </c>
      <c r="C3519">
        <v>493.25</v>
      </c>
      <c r="D3519">
        <v>-2.9299999999999999E-3</v>
      </c>
      <c r="E3519">
        <v>-4.5500000000000002E-3</v>
      </c>
    </row>
    <row r="3520" spans="1:5" ht="14.25" customHeight="1">
      <c r="A3520" s="140">
        <v>45727</v>
      </c>
      <c r="B3520">
        <v>74102.320000000007</v>
      </c>
      <c r="C3520">
        <v>497.6</v>
      </c>
      <c r="D3520">
        <v>-1.7000000000000001E-4</v>
      </c>
      <c r="E3520">
        <v>8.7799999999999996E-3</v>
      </c>
    </row>
    <row r="3521" spans="1:5" ht="14.25" customHeight="1">
      <c r="A3521" s="140">
        <v>45728</v>
      </c>
      <c r="B3521">
        <v>74029.759999999995</v>
      </c>
      <c r="C3521">
        <v>499.85</v>
      </c>
      <c r="D3521">
        <v>-9.7999999999999997E-4</v>
      </c>
      <c r="E3521">
        <v>4.5100000000000001E-3</v>
      </c>
    </row>
    <row r="3522" spans="1:5" ht="14.25" customHeight="1">
      <c r="A3522" s="140">
        <v>45729</v>
      </c>
      <c r="B3522">
        <v>73828.91</v>
      </c>
      <c r="C3522">
        <v>500.95</v>
      </c>
      <c r="D3522">
        <v>-2.7200000000000002E-3</v>
      </c>
      <c r="E3522">
        <v>2.2000000000000001E-3</v>
      </c>
    </row>
    <row r="3523" spans="1:5" ht="14.25" customHeight="1">
      <c r="A3523" s="140">
        <v>45733</v>
      </c>
      <c r="B3523">
        <v>74169.95</v>
      </c>
      <c r="C3523">
        <v>494.85</v>
      </c>
      <c r="D3523">
        <v>4.6100000000000004E-3</v>
      </c>
      <c r="E3523">
        <v>-1.225E-2</v>
      </c>
    </row>
    <row r="3524" spans="1:5" ht="14.25" customHeight="1">
      <c r="A3524" s="140">
        <v>45734</v>
      </c>
      <c r="B3524">
        <v>75301.259999999995</v>
      </c>
      <c r="C3524">
        <v>499.1</v>
      </c>
      <c r="D3524">
        <v>1.5140000000000001E-2</v>
      </c>
      <c r="E3524">
        <v>8.5500000000000003E-3</v>
      </c>
    </row>
    <row r="3525" spans="1:5" ht="14.25" customHeight="1">
      <c r="A3525" s="140">
        <v>45735</v>
      </c>
      <c r="B3525">
        <v>75449.05</v>
      </c>
      <c r="C3525">
        <v>495.1</v>
      </c>
      <c r="D3525">
        <v>1.9599999999999999E-3</v>
      </c>
      <c r="E3525">
        <v>-8.0499999999999999E-3</v>
      </c>
    </row>
    <row r="3526" spans="1:5" ht="14.25" customHeight="1">
      <c r="A3526" s="140">
        <v>45736</v>
      </c>
      <c r="B3526">
        <v>76348.06</v>
      </c>
      <c r="C3526">
        <v>499.2</v>
      </c>
      <c r="D3526">
        <v>1.1849999999999999E-2</v>
      </c>
      <c r="E3526">
        <v>8.2500000000000004E-3</v>
      </c>
    </row>
    <row r="3527" spans="1:5" ht="14.25" customHeight="1">
      <c r="A3527" s="140">
        <v>45737</v>
      </c>
      <c r="B3527">
        <v>76905.509999999995</v>
      </c>
      <c r="C3527">
        <v>507.05</v>
      </c>
      <c r="D3527">
        <v>7.2700000000000004E-3</v>
      </c>
      <c r="E3527">
        <v>1.5599999999999999E-2</v>
      </c>
    </row>
    <row r="3528" spans="1:5" ht="14.25" customHeight="1">
      <c r="A3528" s="140">
        <v>45740</v>
      </c>
      <c r="B3528">
        <v>77984.38</v>
      </c>
      <c r="C3528">
        <v>507.05</v>
      </c>
      <c r="D3528">
        <v>1.393E-2</v>
      </c>
      <c r="E3528">
        <v>0</v>
      </c>
    </row>
    <row r="3529" spans="1:5" ht="14.25" customHeight="1">
      <c r="A3529" s="140">
        <v>45741</v>
      </c>
      <c r="B3529">
        <v>78017.19</v>
      </c>
      <c r="C3529">
        <v>509.05</v>
      </c>
      <c r="D3529">
        <v>4.2000000000000002E-4</v>
      </c>
      <c r="E3529">
        <v>3.9399999999999999E-3</v>
      </c>
    </row>
    <row r="3530" spans="1:5" ht="14.25" customHeight="1">
      <c r="A3530" s="140">
        <v>45742</v>
      </c>
      <c r="B3530">
        <v>77288.5</v>
      </c>
      <c r="C3530">
        <v>509</v>
      </c>
      <c r="D3530">
        <v>-9.3799999999999994E-3</v>
      </c>
      <c r="E3530">
        <v>-1E-4</v>
      </c>
    </row>
    <row r="3531" spans="1:5" ht="14.25" customHeight="1">
      <c r="A3531" s="140">
        <v>45743</v>
      </c>
      <c r="B3531">
        <v>77606.429999999993</v>
      </c>
      <c r="C3531">
        <v>512.65</v>
      </c>
      <c r="D3531">
        <v>4.1099999999999999E-3</v>
      </c>
      <c r="E3531">
        <v>7.1500000000000001E-3</v>
      </c>
    </row>
    <row r="3532" spans="1:5" ht="14.25" customHeight="1">
      <c r="A3532" s="140">
        <v>45744</v>
      </c>
      <c r="B3532">
        <v>77414.92</v>
      </c>
      <c r="C3532">
        <v>506.55</v>
      </c>
      <c r="D3532">
        <v>-2.47E-3</v>
      </c>
      <c r="E3532">
        <v>-1.197E-2</v>
      </c>
    </row>
    <row r="3533" spans="1:5" ht="14.25" customHeight="1">
      <c r="A3533" s="140">
        <v>45748</v>
      </c>
      <c r="B3533">
        <v>76024.509999999995</v>
      </c>
      <c r="C3533">
        <v>497.6</v>
      </c>
      <c r="D3533">
        <v>-1.8120000000000001E-2</v>
      </c>
      <c r="E3533">
        <v>-1.7829999999999999E-2</v>
      </c>
    </row>
    <row r="3534" spans="1:5" ht="14.25" customHeight="1">
      <c r="A3534" s="140">
        <v>45749</v>
      </c>
      <c r="B3534">
        <v>76617.440000000002</v>
      </c>
      <c r="C3534">
        <v>495.5</v>
      </c>
      <c r="D3534">
        <v>7.77E-3</v>
      </c>
      <c r="E3534">
        <v>-4.2300000000000003E-3</v>
      </c>
    </row>
    <row r="3535" spans="1:5" ht="14.25" customHeight="1">
      <c r="A3535" s="140">
        <v>45750</v>
      </c>
      <c r="B3535">
        <v>76295.360000000001</v>
      </c>
      <c r="C3535">
        <v>465.6</v>
      </c>
      <c r="D3535">
        <v>-4.2100000000000002E-3</v>
      </c>
      <c r="E3535">
        <v>-6.2239999999999997E-2</v>
      </c>
    </row>
    <row r="3536" spans="1:5" ht="14.25" customHeight="1">
      <c r="A3536" s="140">
        <v>45751</v>
      </c>
      <c r="B3536">
        <v>75364.69</v>
      </c>
      <c r="C3536">
        <v>461.75</v>
      </c>
      <c r="D3536">
        <v>-1.227E-2</v>
      </c>
      <c r="E3536">
        <v>-8.3000000000000001E-3</v>
      </c>
    </row>
    <row r="3537" spans="1:5" ht="14.25" customHeight="1">
      <c r="A3537" s="140">
        <v>45754</v>
      </c>
      <c r="B3537">
        <v>73137.899999999994</v>
      </c>
      <c r="C3537">
        <v>451.45</v>
      </c>
      <c r="D3537">
        <v>-2.9989999999999999E-2</v>
      </c>
      <c r="E3537">
        <v>-2.256E-2</v>
      </c>
    </row>
    <row r="3538" spans="1:5" ht="14.25" customHeight="1">
      <c r="A3538" s="140">
        <v>45755</v>
      </c>
      <c r="B3538">
        <v>74227.08</v>
      </c>
      <c r="C3538">
        <v>459.35</v>
      </c>
      <c r="D3538">
        <v>1.478E-2</v>
      </c>
      <c r="E3538">
        <v>1.7350000000000001E-2</v>
      </c>
    </row>
    <row r="3539" spans="1:5" ht="14.25" customHeight="1">
      <c r="A3539" s="140">
        <v>45756</v>
      </c>
      <c r="B3539">
        <v>73847.149999999994</v>
      </c>
      <c r="C3539">
        <v>465.6</v>
      </c>
      <c r="D3539">
        <v>-5.13E-3</v>
      </c>
      <c r="E3539">
        <v>1.3509999999999999E-2</v>
      </c>
    </row>
    <row r="3540" spans="1:5" ht="14.25" customHeight="1">
      <c r="A3540" s="140">
        <v>45758</v>
      </c>
      <c r="B3540">
        <v>75157.259999999995</v>
      </c>
      <c r="C3540">
        <v>461.3</v>
      </c>
      <c r="D3540">
        <v>1.7590000000000001E-2</v>
      </c>
      <c r="E3540">
        <v>-9.2800000000000001E-3</v>
      </c>
    </row>
    <row r="3541" spans="1:5" ht="14.25" customHeight="1">
      <c r="A3541" s="140">
        <v>45762</v>
      </c>
      <c r="B3541">
        <v>76734.89</v>
      </c>
      <c r="C3541">
        <v>473.55</v>
      </c>
      <c r="D3541">
        <v>2.077E-2</v>
      </c>
      <c r="E3541">
        <v>2.6210000000000001E-2</v>
      </c>
    </row>
    <row r="3542" spans="1:5" ht="14.25" customHeight="1">
      <c r="A3542" s="140">
        <v>45763</v>
      </c>
      <c r="B3542">
        <v>77044.289999999994</v>
      </c>
      <c r="C3542">
        <v>481.3</v>
      </c>
      <c r="D3542">
        <v>4.0200000000000001E-3</v>
      </c>
      <c r="E3542">
        <v>1.6230000000000001E-2</v>
      </c>
    </row>
    <row r="3543" spans="1:5" ht="14.25" customHeight="1">
      <c r="A3543" s="140">
        <v>45764</v>
      </c>
      <c r="B3543">
        <v>78553.2</v>
      </c>
      <c r="C3543">
        <v>479.2</v>
      </c>
      <c r="D3543">
        <v>1.9400000000000001E-2</v>
      </c>
      <c r="E3543">
        <v>-4.3699999999999998E-3</v>
      </c>
    </row>
    <row r="3544" spans="1:5" ht="14.25" customHeight="1">
      <c r="A3544" s="140">
        <v>45768</v>
      </c>
      <c r="B3544">
        <v>79408.5</v>
      </c>
      <c r="C3544">
        <v>475.5</v>
      </c>
      <c r="D3544">
        <v>1.0829999999999999E-2</v>
      </c>
      <c r="E3544">
        <v>-7.7499999999999999E-3</v>
      </c>
    </row>
    <row r="3545" spans="1:5" ht="14.25" customHeight="1">
      <c r="A3545" s="140">
        <v>45769</v>
      </c>
      <c r="B3545">
        <v>79595.59</v>
      </c>
      <c r="C3545">
        <v>484.55</v>
      </c>
      <c r="D3545">
        <v>2.3500000000000001E-3</v>
      </c>
      <c r="E3545">
        <v>1.8849999999999999E-2</v>
      </c>
    </row>
    <row r="3546" spans="1:5" ht="14.25" customHeight="1">
      <c r="A3546" s="140">
        <v>45770</v>
      </c>
      <c r="B3546">
        <v>80116.490000000005</v>
      </c>
      <c r="C3546">
        <v>486</v>
      </c>
      <c r="D3546">
        <v>6.5199999999999998E-3</v>
      </c>
      <c r="E3546">
        <v>2.99E-3</v>
      </c>
    </row>
    <row r="3547" spans="1:5" ht="14.25" customHeight="1">
      <c r="A3547" s="140">
        <v>45771</v>
      </c>
      <c r="B3547">
        <v>79801.429999999993</v>
      </c>
      <c r="C3547">
        <v>491.4</v>
      </c>
      <c r="D3547">
        <v>-3.9399999999999999E-3</v>
      </c>
      <c r="E3547">
        <v>1.1050000000000001E-2</v>
      </c>
    </row>
    <row r="3548" spans="1:5" ht="14.25" customHeight="1">
      <c r="A3548" s="140">
        <v>45772</v>
      </c>
      <c r="B3548">
        <v>79212.53</v>
      </c>
      <c r="C3548">
        <v>484.15</v>
      </c>
      <c r="D3548">
        <v>-7.4099999999999999E-3</v>
      </c>
      <c r="E3548">
        <v>-1.486E-2</v>
      </c>
    </row>
    <row r="3549" spans="1:5" ht="14.25" customHeight="1">
      <c r="A3549" s="140">
        <v>45775</v>
      </c>
      <c r="B3549">
        <v>80218.37</v>
      </c>
      <c r="C3549">
        <v>482.15</v>
      </c>
      <c r="D3549">
        <v>1.2619999999999999E-2</v>
      </c>
      <c r="E3549">
        <v>-4.1399999999999996E-3</v>
      </c>
    </row>
    <row r="3550" spans="1:5" ht="14.25" customHeight="1">
      <c r="A3550" s="140">
        <v>45776</v>
      </c>
      <c r="B3550">
        <v>80288.38</v>
      </c>
      <c r="C3550">
        <v>483.7</v>
      </c>
      <c r="D3550">
        <v>8.7000000000000001E-4</v>
      </c>
      <c r="E3550">
        <v>3.2100000000000002E-3</v>
      </c>
    </row>
    <row r="3551" spans="1:5" ht="14.25" customHeight="1">
      <c r="A3551" s="140">
        <v>45777</v>
      </c>
      <c r="B3551">
        <v>80242.240000000005</v>
      </c>
      <c r="C3551">
        <v>487.45</v>
      </c>
      <c r="D3551">
        <v>-5.6999999999999998E-4</v>
      </c>
      <c r="E3551">
        <v>7.7200000000000003E-3</v>
      </c>
    </row>
    <row r="3552" spans="1:5" ht="14.25" customHeight="1">
      <c r="A3552" s="140">
        <v>45779</v>
      </c>
      <c r="B3552">
        <v>80501.990000000005</v>
      </c>
      <c r="C3552">
        <v>480.4</v>
      </c>
      <c r="D3552">
        <v>3.2299999999999998E-3</v>
      </c>
      <c r="E3552">
        <v>-1.457E-2</v>
      </c>
    </row>
    <row r="3553" spans="1:5" ht="14.25" customHeight="1">
      <c r="A3553" s="140">
        <v>45782</v>
      </c>
      <c r="B3553">
        <v>80796.84</v>
      </c>
      <c r="C3553">
        <v>481.85</v>
      </c>
      <c r="D3553">
        <v>3.6600000000000001E-3</v>
      </c>
      <c r="E3553">
        <v>3.0100000000000001E-3</v>
      </c>
    </row>
    <row r="3554" spans="1:5" ht="14.25" customHeight="1">
      <c r="A3554" s="140">
        <v>45783</v>
      </c>
      <c r="B3554">
        <v>80641.070000000007</v>
      </c>
      <c r="C3554">
        <v>480.6</v>
      </c>
      <c r="D3554">
        <v>-1.9300000000000001E-3</v>
      </c>
      <c r="E3554">
        <v>-2.5999999999999999E-3</v>
      </c>
    </row>
    <row r="3555" spans="1:5" ht="14.25" customHeight="1">
      <c r="A3555" s="140">
        <v>45784</v>
      </c>
      <c r="B3555">
        <v>80746.78</v>
      </c>
      <c r="C3555">
        <v>482.6</v>
      </c>
      <c r="D3555">
        <v>1.31E-3</v>
      </c>
      <c r="E3555">
        <v>4.15E-3</v>
      </c>
    </row>
    <row r="3556" spans="1:5" ht="14.25" customHeight="1">
      <c r="A3556" s="140">
        <v>45785</v>
      </c>
      <c r="B3556">
        <v>80334.81</v>
      </c>
      <c r="C3556">
        <v>469.25</v>
      </c>
      <c r="D3556">
        <v>-5.1200000000000004E-3</v>
      </c>
      <c r="E3556">
        <v>-2.8049999999999999E-2</v>
      </c>
    </row>
    <row r="3557" spans="1:5" ht="14.25" customHeight="1">
      <c r="A3557" s="140">
        <v>45786</v>
      </c>
      <c r="B3557">
        <v>79454.47</v>
      </c>
      <c r="C3557">
        <v>462.85</v>
      </c>
      <c r="D3557">
        <v>-1.102E-2</v>
      </c>
      <c r="E3557">
        <v>-1.3729999999999999E-2</v>
      </c>
    </row>
    <row r="3558" spans="1:5" ht="14.25" customHeight="1">
      <c r="A3558" s="140">
        <v>45789</v>
      </c>
      <c r="B3558">
        <v>82429.899999999994</v>
      </c>
      <c r="C3558">
        <v>475.3</v>
      </c>
      <c r="D3558">
        <v>3.6760000000000001E-2</v>
      </c>
      <c r="E3558">
        <v>2.6540000000000001E-2</v>
      </c>
    </row>
    <row r="3559" spans="1:5" ht="14.25" customHeight="1">
      <c r="A3559" s="140">
        <v>45790</v>
      </c>
      <c r="B3559">
        <v>81148.22</v>
      </c>
      <c r="C3559">
        <v>473.35</v>
      </c>
      <c r="D3559">
        <v>-1.567E-2</v>
      </c>
      <c r="E3559">
        <v>-4.1099999999999999E-3</v>
      </c>
    </row>
    <row r="3560" spans="1:5" ht="14.25" customHeight="1">
      <c r="A3560" s="140">
        <v>45791</v>
      </c>
      <c r="B3560">
        <v>81330.559999999998</v>
      </c>
      <c r="C3560">
        <v>469.1</v>
      </c>
      <c r="D3560">
        <v>2.2399999999999998E-3</v>
      </c>
      <c r="E3560">
        <v>-9.0200000000000002E-3</v>
      </c>
    </row>
    <row r="3561" spans="1:5" ht="14.25" customHeight="1">
      <c r="A3561" s="140">
        <v>45792</v>
      </c>
      <c r="B3561">
        <v>82530.740000000005</v>
      </c>
      <c r="C3561">
        <v>468.85</v>
      </c>
      <c r="D3561">
        <v>1.465E-2</v>
      </c>
      <c r="E3561">
        <v>-5.2999999999999998E-4</v>
      </c>
    </row>
    <row r="3562" spans="1:5" ht="14.25" customHeight="1">
      <c r="A3562" s="140">
        <v>45793</v>
      </c>
      <c r="B3562">
        <v>82330.59</v>
      </c>
      <c r="C3562">
        <v>476.4</v>
      </c>
      <c r="D3562">
        <v>-2.4299999999999999E-3</v>
      </c>
      <c r="E3562">
        <v>1.5970000000000002E-2</v>
      </c>
    </row>
    <row r="3563" spans="1:5" ht="14.25" customHeight="1">
      <c r="A3563" s="140">
        <v>45796</v>
      </c>
      <c r="B3563">
        <v>82059.42</v>
      </c>
      <c r="C3563">
        <v>483.7</v>
      </c>
      <c r="D3563">
        <v>-3.3E-3</v>
      </c>
      <c r="E3563">
        <v>1.521E-2</v>
      </c>
    </row>
    <row r="3564" spans="1:5" ht="14.25" customHeight="1">
      <c r="A3564" s="140">
        <v>45797</v>
      </c>
      <c r="B3564">
        <v>81186.44</v>
      </c>
      <c r="C3564">
        <v>475.8</v>
      </c>
      <c r="D3564">
        <v>-1.0699999999999999E-2</v>
      </c>
      <c r="E3564">
        <v>-1.6469999999999999E-2</v>
      </c>
    </row>
    <row r="3565" spans="1:5" ht="14.25" customHeight="1">
      <c r="A3565" s="140">
        <v>45798</v>
      </c>
      <c r="B3565">
        <v>81596.63</v>
      </c>
      <c r="C3565">
        <v>481.85</v>
      </c>
      <c r="D3565">
        <v>5.0400000000000002E-3</v>
      </c>
      <c r="E3565">
        <v>1.264E-2</v>
      </c>
    </row>
    <row r="3566" spans="1:5" ht="14.25" customHeight="1">
      <c r="A3566" s="140">
        <v>45799</v>
      </c>
      <c r="B3566">
        <v>80951.990000000005</v>
      </c>
      <c r="C3566">
        <v>477.1</v>
      </c>
      <c r="D3566">
        <v>-7.9299999999999995E-3</v>
      </c>
      <c r="E3566">
        <v>-9.9100000000000004E-3</v>
      </c>
    </row>
    <row r="3567" spans="1:5" ht="14.25" customHeight="1">
      <c r="A3567" s="140">
        <v>45800</v>
      </c>
      <c r="B3567">
        <v>81721.08</v>
      </c>
      <c r="C3567">
        <v>481.8</v>
      </c>
      <c r="D3567">
        <v>9.4599999999999997E-3</v>
      </c>
      <c r="E3567">
        <v>9.7999999999999997E-3</v>
      </c>
    </row>
    <row r="3568" spans="1:5" ht="14.25" customHeight="1">
      <c r="A3568" s="140">
        <v>45803</v>
      </c>
      <c r="B3568">
        <v>82176.45</v>
      </c>
      <c r="C3568">
        <v>481.1</v>
      </c>
      <c r="D3568">
        <v>5.5599999999999998E-3</v>
      </c>
      <c r="E3568">
        <v>-1.4499999999999999E-3</v>
      </c>
    </row>
    <row r="3569" spans="1:5" ht="14.25" customHeight="1">
      <c r="A3569" s="140">
        <v>45804</v>
      </c>
      <c r="B3569">
        <v>81551.63</v>
      </c>
      <c r="C3569">
        <v>484.55</v>
      </c>
      <c r="D3569">
        <v>-7.6299999999999996E-3</v>
      </c>
      <c r="E3569">
        <v>7.1500000000000001E-3</v>
      </c>
    </row>
    <row r="3570" spans="1:5" ht="14.25" customHeight="1">
      <c r="A3570" s="140">
        <v>45805</v>
      </c>
      <c r="B3570">
        <v>81312.320000000007</v>
      </c>
      <c r="C3570">
        <v>484.7</v>
      </c>
      <c r="D3570">
        <v>-2.9399999999999999E-3</v>
      </c>
      <c r="E3570">
        <v>3.1E-4</v>
      </c>
    </row>
    <row r="3571" spans="1:5" ht="14.25" customHeight="1">
      <c r="A3571" s="140">
        <v>45806</v>
      </c>
      <c r="B3571">
        <v>81633.02</v>
      </c>
      <c r="C3571">
        <v>482.1</v>
      </c>
      <c r="D3571">
        <v>3.9399999999999999E-3</v>
      </c>
      <c r="E3571">
        <v>-5.3800000000000002E-3</v>
      </c>
    </row>
    <row r="3572" spans="1:5" ht="14.25" customHeight="1">
      <c r="A3572" s="140">
        <v>45807</v>
      </c>
      <c r="B3572">
        <v>81451.009999999995</v>
      </c>
      <c r="C3572">
        <v>484.15</v>
      </c>
      <c r="D3572">
        <v>-2.2300000000000002E-3</v>
      </c>
      <c r="E3572">
        <v>4.2399999999999998E-3</v>
      </c>
    </row>
    <row r="3573" spans="1:5" ht="14.25" customHeight="1">
      <c r="A3573" s="140">
        <v>45810</v>
      </c>
      <c r="B3573">
        <v>81373.75</v>
      </c>
      <c r="C3573">
        <v>484.45</v>
      </c>
      <c r="D3573">
        <v>-9.5E-4</v>
      </c>
      <c r="E3573">
        <v>6.2E-4</v>
      </c>
    </row>
    <row r="3574" spans="1:5" ht="14.25" customHeight="1">
      <c r="A3574" s="140">
        <v>45811</v>
      </c>
      <c r="B3574">
        <v>80737.509999999995</v>
      </c>
      <c r="C3574">
        <v>485.5</v>
      </c>
      <c r="D3574">
        <v>-7.8499999999999993E-3</v>
      </c>
      <c r="E3574">
        <v>2.1700000000000001E-3</v>
      </c>
    </row>
    <row r="3575" spans="1:5" ht="14.25" customHeight="1">
      <c r="A3575" s="140">
        <v>45812</v>
      </c>
      <c r="B3575">
        <v>80998.25</v>
      </c>
      <c r="C3575">
        <v>492.35</v>
      </c>
      <c r="D3575">
        <v>3.2200000000000002E-3</v>
      </c>
      <c r="E3575">
        <v>1.401E-2</v>
      </c>
    </row>
    <row r="3576" spans="1:5" ht="14.25" customHeight="1">
      <c r="A3576" s="140">
        <v>45813</v>
      </c>
      <c r="B3576">
        <v>81442.039999999994</v>
      </c>
      <c r="C3576">
        <v>488.25</v>
      </c>
      <c r="D3576">
        <v>5.4599999999999996E-3</v>
      </c>
      <c r="E3576">
        <v>-8.3599999999999994E-3</v>
      </c>
    </row>
    <row r="3577" spans="1:5" ht="14.25" customHeight="1">
      <c r="A3577" s="140">
        <v>45814</v>
      </c>
      <c r="B3577">
        <v>82188.990000000005</v>
      </c>
      <c r="C3577">
        <v>481.25</v>
      </c>
      <c r="D3577">
        <v>9.1299999999999992E-3</v>
      </c>
      <c r="E3577">
        <v>-1.444E-2</v>
      </c>
    </row>
    <row r="3578" spans="1:5" ht="14.25" customHeight="1">
      <c r="A3578" s="140">
        <v>45817</v>
      </c>
      <c r="B3578">
        <v>82445.210000000006</v>
      </c>
      <c r="C3578">
        <v>485.5</v>
      </c>
      <c r="D3578">
        <v>3.1099999999999999E-3</v>
      </c>
      <c r="E3578">
        <v>8.7899999999999992E-3</v>
      </c>
    </row>
    <row r="3579" spans="1:5" ht="14.25" customHeight="1">
      <c r="A3579" s="140">
        <v>45818</v>
      </c>
      <c r="B3579">
        <v>82391.72</v>
      </c>
      <c r="C3579">
        <v>489.4</v>
      </c>
      <c r="D3579">
        <v>-6.4999999999999997E-4</v>
      </c>
      <c r="E3579">
        <v>8.0000000000000002E-3</v>
      </c>
    </row>
    <row r="3580" spans="1:5" ht="14.25" customHeight="1">
      <c r="A3580" s="140">
        <v>45819</v>
      </c>
      <c r="B3580">
        <v>82515.14</v>
      </c>
      <c r="C3580">
        <v>487.4</v>
      </c>
      <c r="D3580">
        <v>1.5E-3</v>
      </c>
      <c r="E3580">
        <v>-4.1000000000000003E-3</v>
      </c>
    </row>
    <row r="3581" spans="1:5" ht="14.25" customHeight="1">
      <c r="A3581" s="140">
        <v>45820</v>
      </c>
      <c r="B3581">
        <v>81691.98</v>
      </c>
      <c r="C3581">
        <v>472.85</v>
      </c>
      <c r="D3581">
        <v>-1.0030000000000001E-2</v>
      </c>
      <c r="E3581">
        <v>-3.031E-2</v>
      </c>
    </row>
    <row r="3582" spans="1:5" ht="14.25" customHeight="1">
      <c r="A3582" s="140">
        <v>45821</v>
      </c>
      <c r="B3582">
        <v>81118.600000000006</v>
      </c>
      <c r="C3582">
        <v>466.65</v>
      </c>
      <c r="D3582">
        <v>-7.0400000000000003E-3</v>
      </c>
      <c r="E3582">
        <v>-1.32E-2</v>
      </c>
    </row>
    <row r="3583" spans="1:5" ht="14.25" customHeight="1">
      <c r="A3583" s="140">
        <v>45824</v>
      </c>
      <c r="B3583">
        <v>81796.149999999994</v>
      </c>
      <c r="C3583">
        <v>471.7</v>
      </c>
      <c r="D3583">
        <v>8.3199999999999993E-3</v>
      </c>
      <c r="E3583">
        <v>1.076E-2</v>
      </c>
    </row>
    <row r="3584" spans="1:5" ht="14.25" customHeight="1">
      <c r="A3584" s="140">
        <v>45825</v>
      </c>
      <c r="B3584">
        <v>81583.3</v>
      </c>
      <c r="C3584">
        <v>472</v>
      </c>
      <c r="D3584">
        <v>-2.6099999999999999E-3</v>
      </c>
      <c r="E3584">
        <v>6.4000000000000005E-4</v>
      </c>
    </row>
    <row r="3585" spans="1:5" ht="14.25" customHeight="1">
      <c r="A3585" s="140">
        <v>45826</v>
      </c>
      <c r="B3585">
        <v>81444.66</v>
      </c>
      <c r="C3585">
        <v>469.7</v>
      </c>
      <c r="D3585">
        <v>-1.6999999999999999E-3</v>
      </c>
      <c r="E3585">
        <v>-4.8799999999999998E-3</v>
      </c>
    </row>
    <row r="3586" spans="1:5" ht="14.25" customHeight="1">
      <c r="A3586" s="140">
        <v>45827</v>
      </c>
      <c r="B3586">
        <v>81361.87</v>
      </c>
      <c r="C3586">
        <v>465.15</v>
      </c>
      <c r="D3586">
        <v>-1.0200000000000001E-3</v>
      </c>
      <c r="E3586">
        <v>-9.7300000000000008E-3</v>
      </c>
    </row>
    <row r="3587" spans="1:5" ht="14.25" customHeight="1">
      <c r="A3587" s="140">
        <v>45828</v>
      </c>
      <c r="B3587">
        <v>82408.17</v>
      </c>
      <c r="C3587">
        <v>466.7</v>
      </c>
      <c r="D3587">
        <v>1.278E-2</v>
      </c>
      <c r="E3587">
        <v>3.3300000000000001E-3</v>
      </c>
    </row>
    <row r="3588" spans="1:5" ht="14.25" customHeight="1">
      <c r="A3588" s="140">
        <v>45831</v>
      </c>
      <c r="B3588">
        <v>81896.789999999994</v>
      </c>
      <c r="C3588">
        <v>467.65</v>
      </c>
      <c r="D3588">
        <v>-6.2199999999999998E-3</v>
      </c>
      <c r="E3588">
        <v>2.0300000000000001E-3</v>
      </c>
    </row>
    <row r="3589" spans="1:5" ht="14.25" customHeight="1">
      <c r="A3589" s="140">
        <v>45832</v>
      </c>
      <c r="B3589">
        <v>82055.11</v>
      </c>
      <c r="C3589">
        <v>475.15</v>
      </c>
      <c r="D3589">
        <v>1.9300000000000001E-3</v>
      </c>
      <c r="E3589">
        <v>1.5910000000000001E-2</v>
      </c>
    </row>
    <row r="3590" spans="1:5" ht="14.25" customHeight="1">
      <c r="A3590" s="140">
        <v>45833</v>
      </c>
      <c r="B3590">
        <v>82755.509999999995</v>
      </c>
      <c r="C3590">
        <v>480.1</v>
      </c>
      <c r="D3590">
        <v>8.5000000000000006E-3</v>
      </c>
      <c r="E3590">
        <v>1.0359999999999999E-2</v>
      </c>
    </row>
    <row r="3591" spans="1:5" ht="14.25" customHeight="1">
      <c r="A3591" s="140">
        <v>45834</v>
      </c>
      <c r="B3591">
        <v>83755.87</v>
      </c>
      <c r="C3591">
        <v>481.75</v>
      </c>
      <c r="D3591">
        <v>1.2019999999999999E-2</v>
      </c>
      <c r="E3591">
        <v>3.4299999999999999E-3</v>
      </c>
    </row>
    <row r="3592" spans="1:5" ht="14.25" customHeight="1">
      <c r="A3592" s="140">
        <v>45835</v>
      </c>
      <c r="B3592">
        <v>84058.9</v>
      </c>
      <c r="C3592">
        <v>485.9</v>
      </c>
      <c r="D3592">
        <v>3.6099999999999999E-3</v>
      </c>
      <c r="E3592">
        <v>8.5800000000000008E-3</v>
      </c>
    </row>
    <row r="3593" spans="1:5" ht="14.25" customHeight="1">
      <c r="A3593" s="140">
        <v>45838</v>
      </c>
      <c r="B3593">
        <v>83606.460000000006</v>
      </c>
      <c r="C3593">
        <v>485.1</v>
      </c>
      <c r="D3593">
        <v>-5.4000000000000003E-3</v>
      </c>
      <c r="E3593">
        <v>-1.65E-3</v>
      </c>
    </row>
    <row r="3594" spans="1:5" ht="14.25" customHeight="1">
      <c r="A3594" s="140">
        <v>45839</v>
      </c>
      <c r="B3594">
        <v>83697.289999999994</v>
      </c>
      <c r="C3594">
        <v>482.4</v>
      </c>
      <c r="D3594">
        <v>1.09E-3</v>
      </c>
      <c r="E3594">
        <v>-5.5799999999999999E-3</v>
      </c>
    </row>
    <row r="3595" spans="1:5" ht="14.25" customHeight="1">
      <c r="A3595" s="140">
        <v>45840</v>
      </c>
      <c r="B3595">
        <v>83409.69</v>
      </c>
      <c r="C3595">
        <v>487.45</v>
      </c>
      <c r="D3595">
        <v>-3.4399999999999999E-3</v>
      </c>
      <c r="E3595">
        <v>1.0410000000000001E-2</v>
      </c>
    </row>
    <row r="3596" spans="1:5" ht="14.25" customHeight="1">
      <c r="A3596" s="140">
        <v>45841</v>
      </c>
      <c r="B3596">
        <v>83239.47</v>
      </c>
      <c r="C3596">
        <v>491.45</v>
      </c>
      <c r="D3596">
        <v>-2.0400000000000001E-3</v>
      </c>
      <c r="E3596">
        <v>8.1700000000000002E-3</v>
      </c>
    </row>
    <row r="3597" spans="1:5" ht="14.25" customHeight="1">
      <c r="A3597" s="140">
        <v>45842</v>
      </c>
      <c r="B3597">
        <v>83432.89</v>
      </c>
      <c r="C3597">
        <v>495.25</v>
      </c>
      <c r="D3597">
        <v>2.32E-3</v>
      </c>
      <c r="E3597">
        <v>7.7000000000000002E-3</v>
      </c>
    </row>
    <row r="3598" spans="1:5" ht="14.25" customHeight="1">
      <c r="A3598" s="140">
        <v>45845</v>
      </c>
      <c r="B3598">
        <v>83442.5</v>
      </c>
      <c r="C3598">
        <v>512.75</v>
      </c>
      <c r="D3598">
        <v>1.2E-4</v>
      </c>
      <c r="E3598">
        <v>3.4729999999999997E-2</v>
      </c>
    </row>
    <row r="3599" spans="1:5" ht="14.25" customHeight="1">
      <c r="A3599" s="140">
        <v>45846</v>
      </c>
      <c r="B3599">
        <v>83712.509999999995</v>
      </c>
      <c r="C3599">
        <v>512.9</v>
      </c>
      <c r="D3599">
        <v>3.2299999999999998E-3</v>
      </c>
      <c r="E3599">
        <v>2.9E-4</v>
      </c>
    </row>
    <row r="3600" spans="1:5" ht="14.25" customHeight="1">
      <c r="A3600" s="140">
        <v>45847</v>
      </c>
      <c r="B3600">
        <v>83536.08</v>
      </c>
      <c r="C3600">
        <v>522.15</v>
      </c>
      <c r="D3600">
        <v>-2.1099999999999999E-3</v>
      </c>
      <c r="E3600">
        <v>1.787E-2</v>
      </c>
    </row>
    <row r="3601" spans="1:5" ht="14.25" customHeight="1">
      <c r="A3601" s="140">
        <v>45848</v>
      </c>
      <c r="B3601">
        <v>83190.28</v>
      </c>
      <c r="C3601">
        <v>522.35</v>
      </c>
      <c r="D3601">
        <v>-4.15E-3</v>
      </c>
      <c r="E3601">
        <v>3.8000000000000002E-4</v>
      </c>
    </row>
    <row r="3602" spans="1:5" ht="14.25" customHeight="1">
      <c r="A3602" s="140">
        <v>45849</v>
      </c>
      <c r="B3602">
        <v>82500.47</v>
      </c>
      <c r="C3602">
        <v>531.45000000000005</v>
      </c>
      <c r="D3602">
        <v>-8.3300000000000006E-3</v>
      </c>
      <c r="E3602">
        <v>1.7270000000000001E-2</v>
      </c>
    </row>
    <row r="3603" spans="1:5" ht="14.25" customHeight="1">
      <c r="A3603" s="140">
        <v>45852</v>
      </c>
      <c r="B3603">
        <v>82253.460000000006</v>
      </c>
      <c r="C3603">
        <v>526.1</v>
      </c>
      <c r="D3603">
        <v>-3.0000000000000001E-3</v>
      </c>
      <c r="E3603">
        <v>-1.0120000000000001E-2</v>
      </c>
    </row>
    <row r="3604" spans="1:5" ht="14.25" customHeight="1">
      <c r="A3604" s="140">
        <v>45853</v>
      </c>
      <c r="B3604">
        <v>82570.91</v>
      </c>
      <c r="C3604">
        <v>527</v>
      </c>
      <c r="D3604">
        <v>3.8500000000000001E-3</v>
      </c>
      <c r="E3604">
        <v>1.7099999999999999E-3</v>
      </c>
    </row>
    <row r="3605" spans="1:5" ht="14.25" customHeight="1">
      <c r="A3605" s="140">
        <v>45854</v>
      </c>
      <c r="B3605">
        <v>82634.48</v>
      </c>
      <c r="C3605">
        <v>527.9</v>
      </c>
      <c r="D3605">
        <v>7.6999999999999996E-4</v>
      </c>
      <c r="E3605">
        <v>1.7099999999999999E-3</v>
      </c>
    </row>
    <row r="3606" spans="1:5" ht="14.25" customHeight="1">
      <c r="A3606" s="140">
        <v>45855</v>
      </c>
      <c r="B3606">
        <v>82259.240000000005</v>
      </c>
      <c r="C3606">
        <v>528.35</v>
      </c>
      <c r="D3606">
        <v>-4.5500000000000002E-3</v>
      </c>
      <c r="E3606">
        <v>8.4999999999999995E-4</v>
      </c>
    </row>
    <row r="3607" spans="1:5" ht="14.25" customHeight="1">
      <c r="A3607" s="140">
        <v>45856</v>
      </c>
      <c r="B3607">
        <v>81757.73</v>
      </c>
      <c r="C3607">
        <v>522.70000000000005</v>
      </c>
      <c r="D3607">
        <v>-6.1199999999999996E-3</v>
      </c>
      <c r="E3607">
        <v>-1.0749999999999999E-2</v>
      </c>
    </row>
    <row r="3608" spans="1:5" ht="14.25" customHeight="1">
      <c r="A3608" s="140">
        <v>45859</v>
      </c>
      <c r="B3608">
        <v>82200.34</v>
      </c>
      <c r="C3608">
        <v>514.6</v>
      </c>
      <c r="D3608">
        <v>5.4000000000000003E-3</v>
      </c>
      <c r="E3608">
        <v>-1.562E-2</v>
      </c>
    </row>
    <row r="3609" spans="1:5" ht="14.25" customHeight="1">
      <c r="A3609" s="140">
        <v>45860</v>
      </c>
      <c r="B3609">
        <v>82186.81</v>
      </c>
      <c r="C3609">
        <v>515.25</v>
      </c>
      <c r="D3609">
        <v>-1.6000000000000001E-4</v>
      </c>
      <c r="E3609">
        <v>1.2600000000000001E-3</v>
      </c>
    </row>
    <row r="3610" spans="1:5" ht="14.25" customHeight="1">
      <c r="A3610" s="140">
        <v>45861</v>
      </c>
      <c r="B3610">
        <v>82726.64</v>
      </c>
      <c r="C3610">
        <v>513.85</v>
      </c>
      <c r="D3610">
        <v>6.5500000000000003E-3</v>
      </c>
      <c r="E3610">
        <v>-2.7200000000000002E-3</v>
      </c>
    </row>
    <row r="3611" spans="1:5" ht="14.25" customHeight="1">
      <c r="A3611" s="140">
        <v>45862</v>
      </c>
      <c r="B3611">
        <v>82184.17</v>
      </c>
      <c r="C3611">
        <v>512.65</v>
      </c>
      <c r="D3611">
        <v>-6.5799999999999999E-3</v>
      </c>
      <c r="E3611">
        <v>-2.3400000000000001E-3</v>
      </c>
    </row>
    <row r="3612" spans="1:5" ht="14.25" customHeight="1">
      <c r="A3612" s="140">
        <v>45863</v>
      </c>
      <c r="B3612">
        <v>81463.09</v>
      </c>
      <c r="C3612">
        <v>511.25</v>
      </c>
      <c r="D3612">
        <v>-8.8100000000000001E-3</v>
      </c>
      <c r="E3612">
        <v>-2.7299999999999998E-3</v>
      </c>
    </row>
    <row r="3613" spans="1:5" ht="14.25" customHeight="1">
      <c r="A3613" s="140">
        <v>45866</v>
      </c>
      <c r="B3613">
        <v>80891.02</v>
      </c>
      <c r="C3613">
        <v>522.04999999999995</v>
      </c>
      <c r="D3613">
        <v>-7.0499999999999998E-3</v>
      </c>
      <c r="E3613">
        <v>2.0899999999999998E-2</v>
      </c>
    </row>
    <row r="3614" spans="1:5" ht="14.25" customHeight="1">
      <c r="A3614" s="140">
        <v>45867</v>
      </c>
      <c r="B3614">
        <v>81337.95</v>
      </c>
      <c r="C3614">
        <v>517.85</v>
      </c>
      <c r="D3614">
        <v>5.5100000000000001E-3</v>
      </c>
      <c r="E3614">
        <v>-8.0800000000000004E-3</v>
      </c>
    </row>
    <row r="3615" spans="1:5" ht="14.25" customHeight="1">
      <c r="A3615" s="140">
        <v>45868</v>
      </c>
      <c r="B3615">
        <v>81481.86</v>
      </c>
      <c r="C3615">
        <v>521.95000000000005</v>
      </c>
      <c r="D3615">
        <v>1.7700000000000001E-3</v>
      </c>
      <c r="E3615">
        <v>7.8899999999999994E-3</v>
      </c>
    </row>
    <row r="3616" spans="1:5" ht="14.25" customHeight="1">
      <c r="A3616" s="140">
        <v>45869</v>
      </c>
      <c r="B3616">
        <v>81185.58</v>
      </c>
      <c r="C3616">
        <v>529.1</v>
      </c>
      <c r="D3616">
        <v>-3.64E-3</v>
      </c>
      <c r="E3616">
        <v>1.3610000000000001E-2</v>
      </c>
    </row>
    <row r="3617" spans="1:5" ht="14.25" customHeight="1">
      <c r="A3617" s="140">
        <v>45870</v>
      </c>
      <c r="B3617">
        <v>80599.91</v>
      </c>
      <c r="C3617">
        <v>533.85</v>
      </c>
      <c r="D3617">
        <v>-7.2399999999999999E-3</v>
      </c>
      <c r="E3617">
        <v>8.94E-3</v>
      </c>
    </row>
    <row r="3618" spans="1:5" ht="14.25" customHeight="1">
      <c r="A3618" s="140">
        <v>45873</v>
      </c>
      <c r="B3618">
        <v>81018.720000000001</v>
      </c>
      <c r="C3618">
        <v>529.45000000000005</v>
      </c>
      <c r="D3618">
        <v>5.1799999999999997E-3</v>
      </c>
      <c r="E3618">
        <v>-8.2799999999999992E-3</v>
      </c>
    </row>
    <row r="3619" spans="1:5" ht="14.25" customHeight="1">
      <c r="A3619" s="140">
        <v>45874</v>
      </c>
      <c r="B3619">
        <v>80710.25</v>
      </c>
      <c r="C3619">
        <v>525.04999999999995</v>
      </c>
      <c r="D3619">
        <v>-3.81E-3</v>
      </c>
      <c r="E3619">
        <v>-8.3499999999999998E-3</v>
      </c>
    </row>
    <row r="3620" spans="1:5" ht="14.25" customHeight="1">
      <c r="A3620" s="140">
        <v>45875</v>
      </c>
      <c r="B3620">
        <v>80543.990000000005</v>
      </c>
      <c r="C3620">
        <v>514</v>
      </c>
      <c r="D3620">
        <v>-2.0600000000000002E-3</v>
      </c>
      <c r="E3620">
        <v>-2.1270000000000001E-2</v>
      </c>
    </row>
    <row r="3621" spans="1:5" ht="14.25" customHeight="1">
      <c r="A3621" s="140">
        <v>45876</v>
      </c>
      <c r="B3621">
        <v>80623.259999999995</v>
      </c>
      <c r="C3621">
        <v>517.54999999999995</v>
      </c>
      <c r="D3621">
        <v>9.7999999999999997E-4</v>
      </c>
      <c r="E3621">
        <v>6.8799999999999998E-3</v>
      </c>
    </row>
    <row r="3622" spans="1:5" ht="14.25" customHeight="1">
      <c r="A3622" s="140">
        <v>45877</v>
      </c>
      <c r="B3622">
        <v>79857.789999999994</v>
      </c>
      <c r="C3622">
        <v>507.3</v>
      </c>
      <c r="D3622">
        <v>-9.5399999999999999E-3</v>
      </c>
      <c r="E3622">
        <v>-0.02</v>
      </c>
    </row>
    <row r="3623" spans="1:5" ht="14.25" customHeight="1">
      <c r="A3623" s="140">
        <v>45880</v>
      </c>
      <c r="B3623">
        <v>80604.08</v>
      </c>
      <c r="C3623">
        <v>509.85</v>
      </c>
      <c r="D3623">
        <v>9.2999999999999992E-3</v>
      </c>
      <c r="E3623">
        <v>5.0099999999999997E-3</v>
      </c>
    </row>
    <row r="3624" spans="1:5" ht="14.25" customHeight="1">
      <c r="A3624" s="140">
        <v>45881</v>
      </c>
      <c r="B3624">
        <v>80235.59</v>
      </c>
      <c r="C3624">
        <v>502.8</v>
      </c>
      <c r="D3624">
        <v>-4.5799999999999999E-3</v>
      </c>
      <c r="E3624">
        <v>-1.392E-2</v>
      </c>
    </row>
    <row r="3625" spans="1:5" ht="14.25" customHeight="1">
      <c r="A3625" s="140">
        <v>45882</v>
      </c>
      <c r="B3625">
        <v>80539.91</v>
      </c>
      <c r="C3625">
        <v>503.35</v>
      </c>
      <c r="D3625">
        <v>3.79E-3</v>
      </c>
      <c r="E3625">
        <v>1.09E-3</v>
      </c>
    </row>
    <row r="3626" spans="1:5" ht="14.25" customHeight="1">
      <c r="A3626" s="140">
        <v>45883</v>
      </c>
      <c r="B3626">
        <v>80597.66</v>
      </c>
      <c r="C3626">
        <v>501.25</v>
      </c>
      <c r="D3626">
        <v>7.2000000000000005E-4</v>
      </c>
      <c r="E3626">
        <v>-4.1799999999999997E-3</v>
      </c>
    </row>
    <row r="3627" spans="1:5" ht="14.25" customHeight="1">
      <c r="A3627" s="140">
        <v>45887</v>
      </c>
      <c r="B3627">
        <v>81273.75</v>
      </c>
      <c r="C3627">
        <v>518.9</v>
      </c>
      <c r="D3627">
        <v>8.3499999999999998E-3</v>
      </c>
      <c r="E3627">
        <v>3.4610000000000002E-2</v>
      </c>
    </row>
    <row r="3628" spans="1:5" ht="14.25" customHeight="1">
      <c r="A3628" s="140">
        <v>45888</v>
      </c>
      <c r="B3628">
        <v>81644.39</v>
      </c>
      <c r="C3628">
        <v>521.9</v>
      </c>
      <c r="D3628">
        <v>4.5500000000000002E-3</v>
      </c>
      <c r="E3628">
        <v>5.7600000000000004E-3</v>
      </c>
    </row>
    <row r="3629" spans="1:5" ht="14.25" customHeight="1">
      <c r="A3629" s="140">
        <v>45889</v>
      </c>
      <c r="B3629">
        <v>81857.84</v>
      </c>
      <c r="C3629">
        <v>535.04999999999995</v>
      </c>
      <c r="D3629">
        <v>2.6099999999999999E-3</v>
      </c>
      <c r="E3629">
        <v>2.4879999999999999E-2</v>
      </c>
    </row>
    <row r="3630" spans="1:5" ht="14.25" customHeight="1">
      <c r="A3630" s="140">
        <v>45890</v>
      </c>
      <c r="B3630">
        <v>82000.710000000006</v>
      </c>
      <c r="C3630">
        <v>517</v>
      </c>
      <c r="D3630">
        <v>1.74E-3</v>
      </c>
      <c r="E3630">
        <v>-3.4320000000000003E-2</v>
      </c>
    </row>
    <row r="3631" spans="1:5" ht="14.25" customHeight="1">
      <c r="A3631" s="140">
        <v>45891</v>
      </c>
      <c r="B3631">
        <v>81306.850000000006</v>
      </c>
      <c r="C3631">
        <v>515.9</v>
      </c>
      <c r="D3631">
        <v>-8.5000000000000006E-3</v>
      </c>
      <c r="E3631">
        <v>-2.1299999999999999E-3</v>
      </c>
    </row>
    <row r="3632" spans="1:5" ht="14.25" customHeight="1">
      <c r="A3632" s="140">
        <v>45894</v>
      </c>
      <c r="B3632">
        <v>81635.91</v>
      </c>
      <c r="C3632">
        <v>518.35</v>
      </c>
      <c r="D3632">
        <v>4.0400000000000002E-3</v>
      </c>
      <c r="E3632">
        <v>4.7400000000000003E-3</v>
      </c>
    </row>
    <row r="3633" spans="1:5" ht="14.25" customHeight="1">
      <c r="A3633" s="140">
        <v>45895</v>
      </c>
      <c r="B3633">
        <v>80786.539999999994</v>
      </c>
      <c r="C3633">
        <v>522.70000000000005</v>
      </c>
      <c r="D3633">
        <v>-1.0460000000000001E-2</v>
      </c>
      <c r="E3633">
        <v>8.3599999999999994E-3</v>
      </c>
    </row>
    <row r="3634" spans="1:5" ht="14.25" customHeight="1">
      <c r="A3634" s="140">
        <v>45897</v>
      </c>
      <c r="B3634">
        <v>80080.570000000007</v>
      </c>
      <c r="C3634">
        <v>513.75</v>
      </c>
      <c r="D3634">
        <v>-8.7799999999999996E-3</v>
      </c>
      <c r="E3634">
        <v>-1.7270000000000001E-2</v>
      </c>
    </row>
    <row r="3635" spans="1:5" ht="14.25" customHeight="1">
      <c r="A3635" s="140">
        <v>45898</v>
      </c>
      <c r="B3635">
        <v>79809.649999999994</v>
      </c>
      <c r="C3635">
        <v>520.95000000000005</v>
      </c>
      <c r="D3635">
        <v>-3.3899999999999998E-3</v>
      </c>
      <c r="E3635">
        <v>1.392E-2</v>
      </c>
    </row>
    <row r="3636" spans="1:5" ht="14.25" customHeight="1">
      <c r="A3636" s="140">
        <v>45901</v>
      </c>
      <c r="B3636">
        <v>80364.490000000005</v>
      </c>
      <c r="C3636">
        <v>523.54999999999995</v>
      </c>
      <c r="D3636">
        <v>6.9300000000000004E-3</v>
      </c>
      <c r="E3636">
        <v>4.9800000000000001E-3</v>
      </c>
    </row>
    <row r="3637" spans="1:5" ht="14.25" customHeight="1">
      <c r="A3637" s="140">
        <v>45902</v>
      </c>
      <c r="B3637">
        <v>80157.88</v>
      </c>
      <c r="C3637">
        <v>545</v>
      </c>
      <c r="D3637">
        <v>-2.5699999999999998E-3</v>
      </c>
      <c r="E3637">
        <v>4.0149999999999998E-2</v>
      </c>
    </row>
    <row r="3638" spans="1:5" ht="14.25" customHeight="1">
      <c r="A3638" s="140">
        <v>45903</v>
      </c>
      <c r="B3638">
        <v>80567.710000000006</v>
      </c>
      <c r="C3638">
        <v>543.4</v>
      </c>
      <c r="D3638">
        <v>5.1000000000000004E-3</v>
      </c>
      <c r="E3638">
        <v>-2.9399999999999999E-3</v>
      </c>
    </row>
    <row r="3639" spans="1:5" ht="14.25" customHeight="1">
      <c r="A3639" s="140">
        <v>45904</v>
      </c>
      <c r="B3639">
        <v>80718.009999999995</v>
      </c>
      <c r="C3639">
        <v>552.9</v>
      </c>
      <c r="D3639">
        <v>1.8600000000000001E-3</v>
      </c>
      <c r="E3639">
        <v>1.7330000000000002E-2</v>
      </c>
    </row>
    <row r="3640" spans="1:5" ht="14.25" customHeight="1">
      <c r="A3640" s="140">
        <v>45905</v>
      </c>
      <c r="B3640">
        <v>80710.759999999995</v>
      </c>
      <c r="C3640">
        <v>546.85</v>
      </c>
      <c r="D3640">
        <v>-9.0000000000000006E-5</v>
      </c>
      <c r="E3640">
        <v>-1.0999999999999999E-2</v>
      </c>
    </row>
    <row r="3641" spans="1:5" ht="14.25" customHeight="1">
      <c r="A3641" s="140">
        <v>45908</v>
      </c>
      <c r="B3641">
        <v>80787.3</v>
      </c>
      <c r="C3641">
        <v>545.79999999999995</v>
      </c>
      <c r="D3641">
        <v>9.5E-4</v>
      </c>
      <c r="E3641">
        <v>-1.92E-3</v>
      </c>
    </row>
    <row r="3642" spans="1:5" ht="14.25" customHeight="1">
      <c r="A3642" s="140">
        <v>45909</v>
      </c>
      <c r="B3642">
        <v>81101.320000000007</v>
      </c>
      <c r="C3642">
        <v>544.4</v>
      </c>
      <c r="D3642">
        <v>3.8800000000000002E-3</v>
      </c>
      <c r="E3642">
        <v>-2.5699999999999998E-3</v>
      </c>
    </row>
    <row r="3643" spans="1:5" ht="14.25" customHeight="1">
      <c r="A3643" s="140">
        <v>45910</v>
      </c>
      <c r="B3643">
        <v>81425.149999999994</v>
      </c>
      <c r="C3643">
        <v>547.45000000000005</v>
      </c>
      <c r="D3643">
        <v>3.98E-3</v>
      </c>
      <c r="E3643">
        <v>5.5900000000000004E-3</v>
      </c>
    </row>
    <row r="3644" spans="1:5" ht="14.25" customHeight="1">
      <c r="A3644" s="140">
        <v>45911</v>
      </c>
      <c r="B3644">
        <v>81548.73</v>
      </c>
      <c r="C3644">
        <v>544.1</v>
      </c>
      <c r="D3644">
        <v>1.5200000000000001E-3</v>
      </c>
      <c r="E3644">
        <v>-6.1399999999999996E-3</v>
      </c>
    </row>
    <row r="3645" spans="1:5" ht="14.25" customHeight="1">
      <c r="A3645" s="140">
        <v>45912</v>
      </c>
      <c r="B3645">
        <v>81904.7</v>
      </c>
      <c r="C3645">
        <v>538.79999999999995</v>
      </c>
      <c r="D3645">
        <v>4.3600000000000002E-3</v>
      </c>
      <c r="E3645">
        <v>-9.7900000000000001E-3</v>
      </c>
    </row>
    <row r="3646" spans="1:5" ht="14.25" customHeight="1">
      <c r="A3646" s="140">
        <v>45915</v>
      </c>
      <c r="B3646">
        <v>81785.740000000005</v>
      </c>
      <c r="C3646">
        <v>541.29999999999995</v>
      </c>
      <c r="D3646">
        <v>-1.4499999999999999E-3</v>
      </c>
      <c r="E3646">
        <v>4.6299999999999996E-3</v>
      </c>
    </row>
    <row r="3647" spans="1:5" ht="14.25" customHeight="1">
      <c r="A3647" s="140">
        <v>45916</v>
      </c>
      <c r="B3647">
        <v>82380.69</v>
      </c>
      <c r="C3647">
        <v>535.25</v>
      </c>
      <c r="D3647">
        <v>7.2500000000000004E-3</v>
      </c>
      <c r="E3647">
        <v>-1.124E-2</v>
      </c>
    </row>
    <row r="3648" spans="1:5" ht="14.25" customHeight="1">
      <c r="A3648" s="140">
        <v>45917</v>
      </c>
      <c r="B3648">
        <v>82693.710000000006</v>
      </c>
      <c r="C3648">
        <v>535.45000000000005</v>
      </c>
      <c r="D3648">
        <v>3.79E-3</v>
      </c>
      <c r="E3648">
        <v>3.6999999999999999E-4</v>
      </c>
    </row>
    <row r="3649" spans="1:5" ht="14.25" customHeight="1">
      <c r="A3649" s="140">
        <v>45918</v>
      </c>
      <c r="B3649">
        <v>83013.960000000006</v>
      </c>
      <c r="C3649">
        <v>535.95000000000005</v>
      </c>
      <c r="D3649">
        <v>3.8700000000000002E-3</v>
      </c>
      <c r="E3649">
        <v>9.3000000000000005E-4</v>
      </c>
    </row>
    <row r="3650" spans="1:5" ht="14.25" customHeight="1">
      <c r="A3650" s="140">
        <v>45919</v>
      </c>
      <c r="B3650">
        <v>82626.23</v>
      </c>
      <c r="C3650">
        <v>535.45000000000005</v>
      </c>
      <c r="D3650">
        <v>-4.6800000000000001E-3</v>
      </c>
      <c r="E3650">
        <v>-9.3000000000000005E-4</v>
      </c>
    </row>
    <row r="3651" spans="1:5" ht="14.25" customHeight="1">
      <c r="A3651" s="140">
        <v>45922</v>
      </c>
      <c r="B3651">
        <v>82159.97</v>
      </c>
      <c r="C3651">
        <v>522</v>
      </c>
      <c r="D3651">
        <v>-5.6600000000000001E-3</v>
      </c>
      <c r="E3651">
        <v>-2.5440000000000001E-2</v>
      </c>
    </row>
    <row r="3652" spans="1:5" ht="14.25" customHeight="1">
      <c r="A3652" s="140">
        <v>45923</v>
      </c>
      <c r="B3652">
        <v>82102.100000000006</v>
      </c>
      <c r="C3652">
        <v>515.20000000000005</v>
      </c>
      <c r="D3652">
        <v>-6.9999999999999999E-4</v>
      </c>
      <c r="E3652">
        <v>-1.311E-2</v>
      </c>
    </row>
    <row r="3653" spans="1:5" ht="14.25" customHeight="1">
      <c r="A3653" s="140">
        <v>45924</v>
      </c>
      <c r="B3653">
        <v>81715.63</v>
      </c>
      <c r="C3653">
        <v>517.85</v>
      </c>
      <c r="D3653">
        <v>-4.7200000000000002E-3</v>
      </c>
      <c r="E3653">
        <v>5.13E-3</v>
      </c>
    </row>
    <row r="3654" spans="1:5" ht="14.25" customHeight="1">
      <c r="A3654" s="140">
        <v>45925</v>
      </c>
      <c r="B3654">
        <v>81159.679999999993</v>
      </c>
      <c r="C3654">
        <v>506.1</v>
      </c>
      <c r="D3654">
        <v>-6.8300000000000001E-3</v>
      </c>
      <c r="E3654">
        <v>-2.2950000000000002E-2</v>
      </c>
    </row>
    <row r="3655" spans="1:5" ht="14.25" customHeight="1">
      <c r="A3655" s="140">
        <v>45926</v>
      </c>
      <c r="B3655">
        <v>80426.460000000006</v>
      </c>
      <c r="C3655">
        <v>499.7</v>
      </c>
      <c r="D3655">
        <v>-9.0799999999999995E-3</v>
      </c>
      <c r="E3655">
        <v>-1.273E-2</v>
      </c>
    </row>
    <row r="3656" spans="1:5" ht="14.25" customHeight="1">
      <c r="A3656" s="140">
        <v>45929</v>
      </c>
      <c r="B3656">
        <v>80364.94</v>
      </c>
      <c r="C3656">
        <v>494</v>
      </c>
      <c r="D3656">
        <v>-7.6999999999999996E-4</v>
      </c>
      <c r="E3656">
        <v>-1.1469999999999999E-2</v>
      </c>
    </row>
    <row r="3657" spans="1:5" ht="14.25" customHeight="1">
      <c r="A3657" s="140">
        <v>45930</v>
      </c>
      <c r="B3657">
        <v>80267.62</v>
      </c>
      <c r="C3657">
        <v>491.1</v>
      </c>
      <c r="D3657">
        <v>-1.2099999999999999E-3</v>
      </c>
      <c r="E3657">
        <v>-5.8900000000000003E-3</v>
      </c>
    </row>
    <row r="3658" spans="1:5" ht="14.25" customHeight="1">
      <c r="A3658" s="140">
        <v>45931</v>
      </c>
      <c r="B3658">
        <v>80983.31</v>
      </c>
      <c r="C3658">
        <v>495.05</v>
      </c>
      <c r="D3658">
        <v>8.8800000000000007E-3</v>
      </c>
      <c r="E3658">
        <v>8.0099999999999998E-3</v>
      </c>
    </row>
    <row r="3659" spans="1:5" ht="14.25" customHeight="1">
      <c r="A3659" s="140">
        <v>45933</v>
      </c>
      <c r="B3659">
        <v>81207.17</v>
      </c>
      <c r="C3659">
        <v>496.05</v>
      </c>
      <c r="D3659">
        <v>2.7599999999999999E-3</v>
      </c>
      <c r="E3659">
        <v>2.0200000000000001E-3</v>
      </c>
    </row>
    <row r="3660" spans="1:5" ht="14.25" customHeight="1">
      <c r="A3660" s="140">
        <v>45936</v>
      </c>
      <c r="B3660">
        <v>81790.12</v>
      </c>
      <c r="C3660">
        <v>493.4</v>
      </c>
      <c r="D3660">
        <v>7.1500000000000001E-3</v>
      </c>
      <c r="E3660">
        <v>-5.3600000000000002E-3</v>
      </c>
    </row>
    <row r="3661" spans="1:5" ht="14.25" customHeight="1">
      <c r="A3661" s="140">
        <v>45937</v>
      </c>
      <c r="B3661">
        <v>81926.75</v>
      </c>
      <c r="C3661">
        <v>492.3</v>
      </c>
      <c r="D3661">
        <v>1.67E-3</v>
      </c>
      <c r="E3661">
        <v>-2.2300000000000002E-3</v>
      </c>
    </row>
    <row r="3662" spans="1:5" ht="14.25" customHeight="1">
      <c r="A3662" s="140">
        <v>45938</v>
      </c>
      <c r="B3662">
        <v>81773.66</v>
      </c>
      <c r="C3662">
        <v>480.3</v>
      </c>
      <c r="D3662">
        <v>-1.8699999999999999E-3</v>
      </c>
      <c r="E3662">
        <v>-2.4680000000000001E-2</v>
      </c>
    </row>
    <row r="3663" spans="1:5" ht="14.25" customHeight="1">
      <c r="A3663" s="140">
        <v>45939</v>
      </c>
      <c r="B3663">
        <v>82172.100000000006</v>
      </c>
      <c r="C3663">
        <v>485.75</v>
      </c>
      <c r="D3663">
        <v>4.8599999999999997E-3</v>
      </c>
      <c r="E3663">
        <v>1.128E-2</v>
      </c>
    </row>
    <row r="3664" spans="1:5" ht="14.25" customHeight="1">
      <c r="A3664" s="140">
        <v>45940</v>
      </c>
      <c r="B3664">
        <v>82500.820000000007</v>
      </c>
      <c r="C3664">
        <v>489.65</v>
      </c>
      <c r="D3664">
        <v>3.9899999999999996E-3</v>
      </c>
      <c r="E3664">
        <v>8.0000000000000002E-3</v>
      </c>
    </row>
    <row r="3665" spans="1:5" ht="14.25" customHeight="1">
      <c r="A3665" s="140">
        <v>45943</v>
      </c>
      <c r="B3665">
        <v>82327.05</v>
      </c>
      <c r="C3665">
        <v>488</v>
      </c>
      <c r="D3665">
        <v>-2.1099999999999999E-3</v>
      </c>
      <c r="E3665">
        <v>-3.3800000000000002E-3</v>
      </c>
    </row>
    <row r="3666" spans="1:5" ht="14.25" customHeight="1">
      <c r="A3666" s="140">
        <v>45944</v>
      </c>
      <c r="B3666">
        <v>82029.98</v>
      </c>
      <c r="C3666">
        <v>487.1</v>
      </c>
      <c r="D3666">
        <v>-3.6099999999999999E-3</v>
      </c>
      <c r="E3666">
        <v>-1.8500000000000001E-3</v>
      </c>
    </row>
    <row r="3667" spans="1:5" ht="14.25" customHeight="1">
      <c r="A3667" s="140">
        <v>45945</v>
      </c>
      <c r="B3667">
        <v>82605.429999999993</v>
      </c>
      <c r="C3667">
        <v>493.45</v>
      </c>
      <c r="D3667">
        <v>6.9899999999999997E-3</v>
      </c>
      <c r="E3667">
        <v>1.295E-2</v>
      </c>
    </row>
    <row r="3668" spans="1:5" ht="14.25" customHeight="1">
      <c r="A3668" s="140">
        <v>45946</v>
      </c>
      <c r="B3668">
        <v>83467.66</v>
      </c>
      <c r="C3668">
        <v>500.15</v>
      </c>
      <c r="D3668">
        <v>1.038E-2</v>
      </c>
      <c r="E3668">
        <v>1.349E-2</v>
      </c>
    </row>
    <row r="3669" spans="1:5" ht="14.25" customHeight="1">
      <c r="A3669" s="140">
        <v>45947</v>
      </c>
      <c r="B3669">
        <v>83952.19</v>
      </c>
      <c r="C3669">
        <v>508.6</v>
      </c>
      <c r="D3669">
        <v>5.79E-3</v>
      </c>
      <c r="E3669">
        <v>1.6750000000000001E-2</v>
      </c>
    </row>
    <row r="3670" spans="1:5" ht="14.25" customHeight="1">
      <c r="A3670" s="140">
        <v>45950</v>
      </c>
      <c r="B3670">
        <v>84363.37</v>
      </c>
      <c r="C3670">
        <v>504.55</v>
      </c>
      <c r="D3670">
        <v>4.8900000000000002E-3</v>
      </c>
      <c r="E3670">
        <v>-7.9900000000000006E-3</v>
      </c>
    </row>
    <row r="3671" spans="1:5" ht="14.25" customHeight="1">
      <c r="A3671" s="140">
        <v>45951</v>
      </c>
      <c r="B3671">
        <v>84426.34</v>
      </c>
      <c r="C3671">
        <v>506.05</v>
      </c>
      <c r="D3671">
        <v>7.5000000000000002E-4</v>
      </c>
      <c r="E3671">
        <v>2.97E-3</v>
      </c>
    </row>
    <row r="3672" spans="1:5" ht="14.25" customHeight="1">
      <c r="A3672" s="140">
        <v>45953</v>
      </c>
      <c r="B3672">
        <v>84556.4</v>
      </c>
      <c r="C3672">
        <v>511.1</v>
      </c>
      <c r="D3672">
        <v>1.5399999999999999E-3</v>
      </c>
      <c r="E3672">
        <v>9.9299999999999996E-3</v>
      </c>
    </row>
    <row r="3673" spans="1:5" ht="14.25" customHeight="1">
      <c r="A3673" s="140">
        <v>45954</v>
      </c>
      <c r="B3673">
        <v>84211.88</v>
      </c>
      <c r="C3673">
        <v>508.45</v>
      </c>
      <c r="D3673">
        <v>-4.0800000000000003E-3</v>
      </c>
      <c r="E3673">
        <v>-5.1999999999999998E-3</v>
      </c>
    </row>
    <row r="3674" spans="1:5" ht="14.25" customHeight="1">
      <c r="A3674" s="140">
        <v>45957</v>
      </c>
      <c r="B3674">
        <v>84778.84</v>
      </c>
      <c r="C3674">
        <v>507.15</v>
      </c>
      <c r="D3674">
        <v>6.7099999999999998E-3</v>
      </c>
      <c r="E3674">
        <v>-2.5600000000000002E-3</v>
      </c>
    </row>
    <row r="3675" spans="1:5" ht="14.25" customHeight="1">
      <c r="A3675" s="140">
        <v>45958</v>
      </c>
      <c r="B3675">
        <v>84628.160000000003</v>
      </c>
      <c r="C3675">
        <v>502.75</v>
      </c>
      <c r="D3675">
        <v>-1.7799999999999999E-3</v>
      </c>
      <c r="E3675">
        <v>-8.7100000000000007E-3</v>
      </c>
    </row>
    <row r="3676" spans="1:5" ht="14.25" customHeight="1">
      <c r="A3676" s="140">
        <v>45959</v>
      </c>
      <c r="B3676">
        <v>84997.13</v>
      </c>
      <c r="C3676">
        <v>508</v>
      </c>
      <c r="D3676">
        <v>4.3499999999999997E-3</v>
      </c>
      <c r="E3676">
        <v>1.039E-2</v>
      </c>
    </row>
    <row r="3677" spans="1:5" ht="14.25" customHeight="1">
      <c r="A3677" s="140">
        <v>45960</v>
      </c>
      <c r="B3677">
        <v>84404.46</v>
      </c>
      <c r="C3677">
        <v>501.35</v>
      </c>
      <c r="D3677">
        <v>-7.0000000000000001E-3</v>
      </c>
      <c r="E3677">
        <v>-1.3180000000000001E-2</v>
      </c>
    </row>
    <row r="3678" spans="1:5" ht="14.25" customHeight="1">
      <c r="A3678" s="140">
        <v>45961</v>
      </c>
      <c r="B3678">
        <v>83938.71</v>
      </c>
      <c r="C3678">
        <v>487.9</v>
      </c>
      <c r="D3678">
        <v>-5.5300000000000002E-3</v>
      </c>
      <c r="E3678">
        <v>-2.7189999999999999E-2</v>
      </c>
    </row>
    <row r="3679" spans="1:5" ht="14.25" customHeight="1">
      <c r="A3679" s="140">
        <v>45964</v>
      </c>
      <c r="B3679">
        <v>83978.49</v>
      </c>
      <c r="C3679">
        <v>503.35</v>
      </c>
      <c r="D3679">
        <v>4.6999999999999999E-4</v>
      </c>
      <c r="E3679">
        <v>3.1179999999999999E-2</v>
      </c>
    </row>
    <row r="3680" spans="1:5" ht="14.25" customHeight="1">
      <c r="A3680" s="140">
        <v>45965</v>
      </c>
      <c r="B3680">
        <v>83459.149999999994</v>
      </c>
      <c r="C3680">
        <v>517</v>
      </c>
      <c r="D3680">
        <v>-6.1999999999999998E-3</v>
      </c>
      <c r="E3680">
        <v>2.6759999999999999E-2</v>
      </c>
    </row>
    <row r="3681" spans="1:5" ht="14.25" customHeight="1">
      <c r="A3681" s="140">
        <v>45967</v>
      </c>
      <c r="B3681">
        <v>83311.009999999995</v>
      </c>
      <c r="C3681">
        <v>523.65</v>
      </c>
      <c r="D3681">
        <v>-1.7799999999999999E-3</v>
      </c>
      <c r="E3681">
        <v>1.278E-2</v>
      </c>
    </row>
    <row r="3682" spans="1:5" ht="14.25" customHeight="1">
      <c r="A3682" s="140">
        <v>45968</v>
      </c>
      <c r="B3682">
        <v>83216.28</v>
      </c>
      <c r="C3682">
        <v>518.79999999999995</v>
      </c>
      <c r="D3682">
        <v>-1.14E-3</v>
      </c>
      <c r="E3682">
        <v>-9.3100000000000006E-3</v>
      </c>
    </row>
    <row r="3683" spans="1:5" ht="14.25" customHeight="1">
      <c r="A3683" s="140">
        <v>45971</v>
      </c>
      <c r="B3683">
        <v>83535.350000000006</v>
      </c>
      <c r="C3683">
        <v>515.5</v>
      </c>
      <c r="D3683">
        <v>3.8300000000000001E-3</v>
      </c>
      <c r="E3683">
        <v>-6.3800000000000003E-3</v>
      </c>
    </row>
    <row r="3684" spans="1:5" ht="14.25" customHeight="1">
      <c r="A3684" s="140">
        <v>45972</v>
      </c>
      <c r="B3684">
        <v>83871.320000000007</v>
      </c>
      <c r="C3684">
        <v>519.85</v>
      </c>
      <c r="D3684">
        <v>4.0099999999999997E-3</v>
      </c>
      <c r="E3684">
        <v>8.3999999999999995E-3</v>
      </c>
    </row>
    <row r="3685" spans="1:5" ht="14.25" customHeight="1">
      <c r="A3685" s="140">
        <v>45973</v>
      </c>
      <c r="B3685">
        <v>84466.51</v>
      </c>
      <c r="C3685">
        <v>522.1</v>
      </c>
      <c r="D3685">
        <v>7.0699999999999999E-3</v>
      </c>
      <c r="E3685">
        <v>4.3200000000000001E-3</v>
      </c>
    </row>
    <row r="3686" spans="1:5" ht="14.25" customHeight="1">
      <c r="A3686" s="140">
        <v>45974</v>
      </c>
      <c r="B3686">
        <v>84478.67</v>
      </c>
      <c r="C3686">
        <v>522</v>
      </c>
      <c r="D3686">
        <v>1.3999999999999999E-4</v>
      </c>
      <c r="E3686">
        <v>-1.9000000000000001E-4</v>
      </c>
    </row>
    <row r="3687" spans="1:5" ht="14.25" customHeight="1">
      <c r="A3687" s="140">
        <v>45975</v>
      </c>
      <c r="B3687">
        <v>84562.78</v>
      </c>
      <c r="C3687">
        <v>525.15</v>
      </c>
      <c r="D3687">
        <v>1E-3</v>
      </c>
      <c r="E3687">
        <v>6.0200000000000002E-3</v>
      </c>
    </row>
    <row r="3688" spans="1:5" ht="14.25" customHeight="1">
      <c r="A3688" s="140">
        <v>45978</v>
      </c>
      <c r="B3688">
        <v>84950.95</v>
      </c>
      <c r="C3688">
        <v>524.1</v>
      </c>
      <c r="D3688">
        <v>4.5799999999999999E-3</v>
      </c>
      <c r="E3688">
        <v>-2E-3</v>
      </c>
    </row>
    <row r="3689" spans="1:5" ht="14.25" customHeight="1">
      <c r="A3689" s="140">
        <v>45979</v>
      </c>
      <c r="B3689">
        <v>84673.02</v>
      </c>
      <c r="C3689">
        <v>520</v>
      </c>
      <c r="D3689">
        <v>-3.2799999999999999E-3</v>
      </c>
      <c r="E3689">
        <v>-7.8499999999999993E-3</v>
      </c>
    </row>
    <row r="3690" spans="1:5" ht="14.25" customHeight="1">
      <c r="A3690" s="140">
        <v>45980</v>
      </c>
      <c r="B3690">
        <v>85186.47</v>
      </c>
      <c r="C3690">
        <v>517.6</v>
      </c>
      <c r="D3690">
        <v>6.0499999999999998E-3</v>
      </c>
      <c r="E3690">
        <v>-4.6299999999999996E-3</v>
      </c>
    </row>
    <row r="3691" spans="1:5" ht="14.25" customHeight="1">
      <c r="A3691" s="140">
        <v>45981</v>
      </c>
      <c r="B3691">
        <v>85632.68</v>
      </c>
      <c r="C3691">
        <v>525</v>
      </c>
      <c r="D3691">
        <v>5.2199999999999998E-3</v>
      </c>
      <c r="E3691">
        <v>1.4200000000000001E-2</v>
      </c>
    </row>
    <row r="3692" spans="1:5" ht="14.25" customHeight="1">
      <c r="A3692" s="140">
        <v>45982</v>
      </c>
      <c r="B3692">
        <v>85231.92</v>
      </c>
      <c r="C3692">
        <v>515.25</v>
      </c>
      <c r="D3692">
        <v>-4.6899999999999997E-3</v>
      </c>
      <c r="E3692">
        <v>-1.8749999999999999E-2</v>
      </c>
    </row>
    <row r="3693" spans="1:5" ht="14.25" customHeight="1">
      <c r="A3693" s="140">
        <v>45985</v>
      </c>
      <c r="B3693">
        <v>84900.71</v>
      </c>
      <c r="C3693">
        <v>512.4</v>
      </c>
      <c r="D3693">
        <v>-3.8899999999999998E-3</v>
      </c>
      <c r="E3693">
        <v>-5.5500000000000002E-3</v>
      </c>
    </row>
    <row r="3694" spans="1:5" ht="14.25" customHeight="1">
      <c r="A3694" s="140">
        <v>45986</v>
      </c>
      <c r="B3694">
        <v>84587.01</v>
      </c>
      <c r="C3694">
        <v>513.9</v>
      </c>
      <c r="D3694">
        <v>-3.7000000000000002E-3</v>
      </c>
      <c r="E3694">
        <v>2.9199999999999999E-3</v>
      </c>
    </row>
    <row r="3695" spans="1:5" ht="14.25" customHeight="1">
      <c r="A3695" s="140">
        <v>45987</v>
      </c>
      <c r="B3695">
        <v>85609.51</v>
      </c>
      <c r="C3695">
        <v>517.20000000000005</v>
      </c>
      <c r="D3695">
        <v>1.2019999999999999E-2</v>
      </c>
      <c r="E3695">
        <v>6.4000000000000003E-3</v>
      </c>
    </row>
    <row r="3696" spans="1:5" ht="14.25" customHeight="1">
      <c r="A3696" s="140">
        <v>45988</v>
      </c>
      <c r="B3696">
        <v>85720.38</v>
      </c>
      <c r="C3696">
        <v>519</v>
      </c>
      <c r="D3696">
        <v>1.2899999999999999E-3</v>
      </c>
      <c r="E3696">
        <v>3.47E-3</v>
      </c>
    </row>
    <row r="3697" spans="1:5" ht="14.25" customHeight="1">
      <c r="A3697" s="140">
        <v>45989</v>
      </c>
      <c r="B3697">
        <v>85706.67</v>
      </c>
      <c r="C3697">
        <v>517.29999999999995</v>
      </c>
      <c r="D3697">
        <v>-1.6000000000000001E-4</v>
      </c>
      <c r="E3697">
        <v>-3.2799999999999999E-3</v>
      </c>
    </row>
    <row r="3698" spans="1:5" ht="14.25" customHeight="1">
      <c r="A3698" s="140">
        <v>45992</v>
      </c>
      <c r="B3698">
        <v>85641.9</v>
      </c>
      <c r="C3698">
        <v>514.79999999999995</v>
      </c>
      <c r="D3698">
        <v>-7.6000000000000004E-4</v>
      </c>
      <c r="E3698">
        <v>-4.8399999999999997E-3</v>
      </c>
    </row>
    <row r="3699" spans="1:5" ht="14.25" customHeight="1">
      <c r="A3699" s="140">
        <v>45993</v>
      </c>
      <c r="B3699">
        <v>85138.27</v>
      </c>
      <c r="C3699">
        <v>507.75</v>
      </c>
      <c r="D3699">
        <v>-5.8999999999999999E-3</v>
      </c>
      <c r="E3699">
        <v>-1.379E-2</v>
      </c>
    </row>
    <row r="3700" spans="1:5" ht="14.25" customHeight="1">
      <c r="A3700" s="140">
        <v>45994</v>
      </c>
      <c r="B3700">
        <v>85106.81</v>
      </c>
      <c r="C3700">
        <v>505.9</v>
      </c>
      <c r="D3700">
        <v>-3.6999999999999999E-4</v>
      </c>
      <c r="E3700">
        <v>-3.65E-3</v>
      </c>
    </row>
    <row r="3701" spans="1:5" ht="14.25" customHeight="1">
      <c r="A3701" s="140">
        <v>45995</v>
      </c>
      <c r="B3701">
        <v>85265.32</v>
      </c>
      <c r="C3701">
        <v>508.05</v>
      </c>
      <c r="D3701">
        <v>1.8600000000000001E-3</v>
      </c>
      <c r="E3701">
        <v>4.2399999999999998E-3</v>
      </c>
    </row>
    <row r="3702" spans="1:5" ht="14.25" customHeight="1">
      <c r="A3702" s="140">
        <v>45996</v>
      </c>
      <c r="B3702">
        <v>85712.37</v>
      </c>
      <c r="C3702">
        <v>509.8</v>
      </c>
      <c r="D3702">
        <v>5.2300000000000003E-3</v>
      </c>
      <c r="E3702">
        <v>3.4399999999999999E-3</v>
      </c>
    </row>
    <row r="3703" spans="1:5" ht="14.25" customHeight="1">
      <c r="A3703" s="140">
        <v>45999</v>
      </c>
      <c r="B3703">
        <v>85102.69</v>
      </c>
      <c r="C3703">
        <v>504.65</v>
      </c>
      <c r="D3703">
        <v>-7.1399999999999996E-3</v>
      </c>
      <c r="E3703">
        <v>-1.0149999999999999E-2</v>
      </c>
    </row>
    <row r="3704" spans="1:5" ht="14.25" customHeight="1">
      <c r="A3704" s="140">
        <v>46000</v>
      </c>
      <c r="B3704">
        <v>84666.28</v>
      </c>
      <c r="C3704">
        <v>503.45</v>
      </c>
      <c r="D3704">
        <v>-5.1399999999999996E-3</v>
      </c>
      <c r="E3704">
        <v>-2.3800000000000002E-3</v>
      </c>
    </row>
    <row r="3705" spans="1:5" ht="14.25" customHeight="1">
      <c r="A3705" s="140">
        <v>46001</v>
      </c>
      <c r="B3705">
        <v>84391.27</v>
      </c>
      <c r="C3705">
        <v>502.25</v>
      </c>
      <c r="D3705">
        <v>-3.2499999999999999E-3</v>
      </c>
      <c r="E3705">
        <v>-2.3900000000000002E-3</v>
      </c>
    </row>
    <row r="3706" spans="1:5" ht="14.25" customHeight="1">
      <c r="A3706" s="140">
        <v>46002</v>
      </c>
      <c r="B3706">
        <v>84818.13</v>
      </c>
      <c r="C3706">
        <v>502.1</v>
      </c>
      <c r="D3706">
        <v>5.0499999999999998E-3</v>
      </c>
      <c r="E3706">
        <v>-2.9999999999999997E-4</v>
      </c>
    </row>
    <row r="3707" spans="1:5" ht="14.25" customHeight="1">
      <c r="A3707" s="140">
        <v>46003</v>
      </c>
      <c r="B3707">
        <v>85267.66</v>
      </c>
      <c r="C3707">
        <v>494.65</v>
      </c>
      <c r="D3707">
        <v>5.2900000000000004E-3</v>
      </c>
      <c r="E3707">
        <v>-1.495E-2</v>
      </c>
    </row>
    <row r="3708" spans="1:5" ht="14.25" customHeight="1">
      <c r="A3708" s="140">
        <v>46006</v>
      </c>
      <c r="B3708">
        <v>85213.36</v>
      </c>
      <c r="C3708">
        <v>497.25</v>
      </c>
      <c r="D3708">
        <v>-6.4000000000000005E-4</v>
      </c>
      <c r="E3708">
        <v>5.2399999999999999E-3</v>
      </c>
    </row>
    <row r="3709" spans="1:5" ht="14.25" customHeight="1">
      <c r="A3709" s="140">
        <v>46007</v>
      </c>
      <c r="B3709">
        <v>84679.86</v>
      </c>
      <c r="C3709">
        <v>497.35</v>
      </c>
      <c r="D3709">
        <v>-6.28E-3</v>
      </c>
      <c r="E3709">
        <v>2.0000000000000001E-4</v>
      </c>
    </row>
    <row r="3710" spans="1:5" ht="14.25" customHeight="1">
      <c r="A3710" s="140">
        <v>46008</v>
      </c>
      <c r="B3710">
        <v>84559.65</v>
      </c>
      <c r="C3710">
        <v>493.85</v>
      </c>
      <c r="D3710">
        <v>-1.42E-3</v>
      </c>
      <c r="E3710">
        <v>-7.0600000000000003E-3</v>
      </c>
    </row>
    <row r="3711" spans="1:5" ht="14.25" customHeight="1">
      <c r="A3711" s="140">
        <v>46009</v>
      </c>
      <c r="B3711">
        <v>84481.81</v>
      </c>
      <c r="C3711">
        <v>492.4</v>
      </c>
      <c r="D3711">
        <v>-9.2000000000000003E-4</v>
      </c>
      <c r="E3711">
        <v>-2.9399999999999999E-3</v>
      </c>
    </row>
    <row r="3712" spans="1:5" ht="14.25" customHeight="1">
      <c r="A3712" s="140">
        <v>46010</v>
      </c>
      <c r="B3712">
        <v>84929.36</v>
      </c>
      <c r="C3712">
        <v>494.25</v>
      </c>
      <c r="D3712">
        <v>5.28E-3</v>
      </c>
      <c r="E3712">
        <v>3.7499999999999999E-3</v>
      </c>
    </row>
    <row r="3713" spans="1:5" ht="14.25" customHeight="1">
      <c r="A3713" s="140">
        <v>46013</v>
      </c>
      <c r="B3713">
        <v>85567.48</v>
      </c>
      <c r="C3713">
        <v>493.9</v>
      </c>
      <c r="D3713">
        <v>7.4900000000000001E-3</v>
      </c>
      <c r="E3713">
        <v>-7.1000000000000002E-4</v>
      </c>
    </row>
    <row r="3714" spans="1:5" ht="14.25" customHeight="1">
      <c r="A3714" s="140">
        <v>46014</v>
      </c>
      <c r="B3714">
        <v>85524.84</v>
      </c>
      <c r="C3714">
        <v>493.1</v>
      </c>
      <c r="D3714">
        <v>-5.0000000000000001E-4</v>
      </c>
      <c r="E3714">
        <v>-1.6199999999999999E-3</v>
      </c>
    </row>
    <row r="3715" spans="1:5" ht="14.25" customHeight="1">
      <c r="A3715" s="140">
        <v>46015</v>
      </c>
      <c r="B3715">
        <v>85408.7</v>
      </c>
      <c r="C3715">
        <v>490.5</v>
      </c>
      <c r="D3715">
        <v>-1.3600000000000001E-3</v>
      </c>
      <c r="E3715">
        <v>-5.2900000000000004E-3</v>
      </c>
    </row>
    <row r="3716" spans="1:5" ht="14.25" customHeight="1">
      <c r="A3716" s="140">
        <v>46017</v>
      </c>
      <c r="B3716">
        <v>85041.45</v>
      </c>
      <c r="C3716">
        <v>488.45</v>
      </c>
      <c r="D3716">
        <v>-4.3099999999999996E-3</v>
      </c>
      <c r="E3716">
        <v>-4.1900000000000001E-3</v>
      </c>
    </row>
    <row r="3717" spans="1:5" ht="14.25" customHeight="1">
      <c r="A3717" s="140">
        <v>46020</v>
      </c>
      <c r="B3717">
        <v>84695.54</v>
      </c>
      <c r="C3717">
        <v>488.95</v>
      </c>
      <c r="D3717">
        <v>-4.0800000000000003E-3</v>
      </c>
      <c r="E3717">
        <v>1.0200000000000001E-3</v>
      </c>
    </row>
    <row r="3718" spans="1:5" ht="14.25" customHeight="1">
      <c r="A3718" s="140">
        <v>46021</v>
      </c>
      <c r="B3718">
        <v>84675.08</v>
      </c>
      <c r="C3718">
        <v>495.65</v>
      </c>
      <c r="D3718">
        <v>-2.4000000000000001E-4</v>
      </c>
      <c r="E3718">
        <v>1.3610000000000001E-2</v>
      </c>
    </row>
    <row r="3719" spans="1:5" ht="14.25" customHeight="1">
      <c r="A3719" s="140">
        <v>46022</v>
      </c>
      <c r="B3719">
        <v>85220.6</v>
      </c>
      <c r="C3719">
        <v>503.3</v>
      </c>
      <c r="D3719">
        <v>6.4200000000000004E-3</v>
      </c>
      <c r="E3719">
        <v>1.532E-2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8"/>
  <sheetViews>
    <sheetView zoomScale="69" zoomScaleNormal="69" workbookViewId="0">
      <selection activeCell="H36" sqref="H36"/>
    </sheetView>
  </sheetViews>
  <sheetFormatPr defaultColWidth="8.6640625" defaultRowHeight="14.4"/>
  <cols>
    <col min="1" max="1" width="12.21875" customWidth="1"/>
    <col min="2" max="2" width="19.6640625" customWidth="1"/>
    <col min="3" max="3" width="14.33203125" customWidth="1"/>
    <col min="4" max="4" width="15.6640625" customWidth="1"/>
    <col min="5" max="5" width="15.5546875" customWidth="1"/>
    <col min="6" max="6" width="14.77734375" customWidth="1"/>
    <col min="7" max="7" width="15.6640625" customWidth="1"/>
    <col min="8" max="8" width="16.77734375" customWidth="1"/>
    <col min="9" max="9" width="13.77734375" customWidth="1"/>
    <col min="10" max="10" width="15.21875" customWidth="1"/>
    <col min="11" max="11" width="15.6640625" customWidth="1"/>
    <col min="12" max="12" width="15" customWidth="1"/>
    <col min="16" max="16" width="9.88671875" customWidth="1"/>
    <col min="17" max="19" width="9" customWidth="1"/>
    <col min="20" max="20" width="15.77734375" customWidth="1"/>
  </cols>
  <sheetData>
    <row r="1" spans="1:20" ht="14.25" customHeight="1">
      <c r="A1" s="142"/>
      <c r="B1" s="142"/>
      <c r="C1" s="142"/>
      <c r="D1" s="142"/>
      <c r="E1" s="142"/>
    </row>
    <row r="2" spans="1:20" ht="15" customHeight="1">
      <c r="B2" s="281" t="s">
        <v>265</v>
      </c>
      <c r="C2" s="281"/>
      <c r="D2" s="281"/>
      <c r="E2" s="34"/>
      <c r="J2" s="282" t="s">
        <v>266</v>
      </c>
      <c r="K2" s="282"/>
      <c r="L2" s="143"/>
    </row>
    <row r="3" spans="1:20" ht="36" customHeight="1">
      <c r="A3" s="13"/>
      <c r="B3" s="56"/>
      <c r="C3" s="56"/>
      <c r="D3" s="56"/>
      <c r="E3" s="56"/>
      <c r="F3" s="56"/>
      <c r="G3" s="56"/>
      <c r="H3" s="13"/>
      <c r="I3" s="56"/>
      <c r="J3" s="56"/>
      <c r="K3" s="56"/>
      <c r="L3" s="56"/>
      <c r="M3" s="56"/>
      <c r="N3" s="56"/>
      <c r="P3" s="13"/>
      <c r="Q3" s="56"/>
      <c r="R3" s="56"/>
      <c r="S3" s="56"/>
      <c r="T3" s="56"/>
    </row>
    <row r="4" spans="1:20" ht="14.25" customHeight="1">
      <c r="A4" s="144" t="s">
        <v>259</v>
      </c>
      <c r="B4" s="145" t="s">
        <v>260</v>
      </c>
      <c r="C4" s="145" t="s">
        <v>261</v>
      </c>
      <c r="D4" s="145" t="s">
        <v>262</v>
      </c>
      <c r="E4" s="146" t="s">
        <v>263</v>
      </c>
      <c r="H4" s="144" t="s">
        <v>259</v>
      </c>
      <c r="I4" s="145" t="s">
        <v>260</v>
      </c>
      <c r="J4" s="145" t="s">
        <v>261</v>
      </c>
      <c r="K4" s="145" t="s">
        <v>262</v>
      </c>
      <c r="L4" s="146" t="s">
        <v>263</v>
      </c>
      <c r="P4" s="139" t="s">
        <v>259</v>
      </c>
      <c r="Q4" s="139" t="s">
        <v>260</v>
      </c>
      <c r="R4" s="139" t="s">
        <v>261</v>
      </c>
      <c r="S4" s="139" t="s">
        <v>262</v>
      </c>
      <c r="T4" s="139" t="s">
        <v>263</v>
      </c>
    </row>
    <row r="5" spans="1:20" ht="14.25" customHeight="1">
      <c r="A5" s="147">
        <v>42661</v>
      </c>
      <c r="B5">
        <v>28050.880000000001</v>
      </c>
      <c r="C5">
        <v>275.14999999999998</v>
      </c>
      <c r="D5">
        <v>1.874E-2</v>
      </c>
      <c r="E5" s="30">
        <v>1.243E-2</v>
      </c>
      <c r="H5" s="147">
        <v>42683</v>
      </c>
      <c r="I5">
        <v>27252.53</v>
      </c>
      <c r="J5">
        <v>297.64999999999998</v>
      </c>
      <c r="K5">
        <v>-1.235E-2</v>
      </c>
      <c r="L5" s="30">
        <v>5.0000000000000001E-4</v>
      </c>
      <c r="P5" s="140">
        <v>42614</v>
      </c>
      <c r="Q5">
        <v>28423.48</v>
      </c>
      <c r="R5">
        <v>293.89999999999998</v>
      </c>
      <c r="S5">
        <v>-1.01E-3</v>
      </c>
      <c r="T5">
        <v>1.095E-2</v>
      </c>
    </row>
    <row r="6" spans="1:20" ht="14.25" customHeight="1">
      <c r="A6" s="147">
        <v>42662</v>
      </c>
      <c r="B6">
        <v>27984.37</v>
      </c>
      <c r="C6">
        <v>277.2</v>
      </c>
      <c r="D6">
        <v>-2.3700000000000001E-3</v>
      </c>
      <c r="E6" s="30">
        <v>7.4200000000000004E-3</v>
      </c>
      <c r="H6" s="147">
        <v>42684</v>
      </c>
      <c r="I6">
        <v>27517.68</v>
      </c>
      <c r="J6">
        <v>296.60000000000002</v>
      </c>
      <c r="K6">
        <v>9.6799999999999994E-3</v>
      </c>
      <c r="L6" s="30">
        <v>-3.5300000000000002E-3</v>
      </c>
      <c r="P6" s="140">
        <v>42615</v>
      </c>
      <c r="Q6">
        <v>28532.11</v>
      </c>
      <c r="R6">
        <v>296.7</v>
      </c>
      <c r="S6">
        <v>3.81E-3</v>
      </c>
      <c r="T6">
        <v>9.4800000000000006E-3</v>
      </c>
    </row>
    <row r="7" spans="1:20" ht="14.25" customHeight="1">
      <c r="A7" s="147">
        <v>42663</v>
      </c>
      <c r="B7">
        <v>28129.84</v>
      </c>
      <c r="C7">
        <v>280</v>
      </c>
      <c r="D7">
        <v>5.1799999999999997E-3</v>
      </c>
      <c r="E7" s="30">
        <v>1.005E-2</v>
      </c>
      <c r="H7" s="147">
        <v>42685</v>
      </c>
      <c r="I7">
        <v>26818.82</v>
      </c>
      <c r="J7">
        <v>281.14999999999998</v>
      </c>
      <c r="K7">
        <v>-2.572E-2</v>
      </c>
      <c r="L7" s="30">
        <v>-5.3499999999999999E-2</v>
      </c>
      <c r="P7" s="140">
        <v>42619</v>
      </c>
      <c r="Q7">
        <v>28978.02</v>
      </c>
      <c r="R7">
        <v>299.7</v>
      </c>
      <c r="S7">
        <v>1.5509999999999999E-2</v>
      </c>
      <c r="T7">
        <v>1.0059999999999999E-2</v>
      </c>
    </row>
    <row r="8" spans="1:20" ht="14.25" customHeight="1">
      <c r="A8" s="147">
        <v>42664</v>
      </c>
      <c r="B8">
        <v>28077.18</v>
      </c>
      <c r="C8">
        <v>284.10000000000002</v>
      </c>
      <c r="D8">
        <v>-1.8699999999999999E-3</v>
      </c>
      <c r="E8" s="30">
        <v>1.4540000000000001E-2</v>
      </c>
      <c r="H8" s="147">
        <v>42689</v>
      </c>
      <c r="I8">
        <v>26304.63</v>
      </c>
      <c r="J8">
        <v>270.35000000000002</v>
      </c>
      <c r="K8">
        <v>-1.9359999999999999E-2</v>
      </c>
      <c r="L8" s="30">
        <v>-3.9170000000000003E-2</v>
      </c>
      <c r="P8" s="140">
        <v>42620</v>
      </c>
      <c r="Q8">
        <v>28926.36</v>
      </c>
      <c r="R8">
        <v>297.05</v>
      </c>
      <c r="S8">
        <v>-1.7799999999999999E-3</v>
      </c>
      <c r="T8">
        <v>-8.8800000000000007E-3</v>
      </c>
    </row>
    <row r="9" spans="1:20" ht="14.25" customHeight="1">
      <c r="A9" s="147">
        <v>42667</v>
      </c>
      <c r="B9">
        <v>28179.08</v>
      </c>
      <c r="C9">
        <v>283.35000000000002</v>
      </c>
      <c r="D9">
        <v>3.62E-3</v>
      </c>
      <c r="E9" s="30">
        <v>-2.64E-3</v>
      </c>
      <c r="H9" s="147">
        <v>42690</v>
      </c>
      <c r="I9">
        <v>26298.69</v>
      </c>
      <c r="J9">
        <v>275.25</v>
      </c>
      <c r="K9">
        <v>-2.3000000000000001E-4</v>
      </c>
      <c r="L9" s="30">
        <v>1.796E-2</v>
      </c>
      <c r="P9" s="140">
        <v>42621</v>
      </c>
      <c r="Q9">
        <v>29045.279999999999</v>
      </c>
      <c r="R9">
        <v>298.60000000000002</v>
      </c>
      <c r="S9">
        <v>4.1000000000000003E-3</v>
      </c>
      <c r="T9">
        <v>5.1999999999999998E-3</v>
      </c>
    </row>
    <row r="10" spans="1:20" ht="14.25" customHeight="1">
      <c r="A10" s="147">
        <v>42668</v>
      </c>
      <c r="B10">
        <v>28091.42</v>
      </c>
      <c r="C10">
        <v>284.45</v>
      </c>
      <c r="D10">
        <v>-3.1199999999999999E-3</v>
      </c>
      <c r="E10" s="30">
        <v>3.8700000000000002E-3</v>
      </c>
      <c r="H10" s="147">
        <v>42691</v>
      </c>
      <c r="I10">
        <v>26227.62</v>
      </c>
      <c r="J10">
        <v>276.60000000000002</v>
      </c>
      <c r="K10">
        <v>-2.7100000000000002E-3</v>
      </c>
      <c r="L10" s="30">
        <v>4.8900000000000002E-3</v>
      </c>
      <c r="P10" s="140">
        <v>42622</v>
      </c>
      <c r="Q10">
        <v>28797.25</v>
      </c>
      <c r="R10">
        <v>293.7</v>
      </c>
      <c r="S10">
        <v>-8.5800000000000008E-3</v>
      </c>
      <c r="T10">
        <v>-1.6549999999999999E-2</v>
      </c>
    </row>
    <row r="11" spans="1:20" ht="14.25" customHeight="1">
      <c r="A11" s="147">
        <v>42669</v>
      </c>
      <c r="B11">
        <v>27836.51</v>
      </c>
      <c r="C11">
        <v>296.39999999999998</v>
      </c>
      <c r="D11">
        <v>-9.1199999999999996E-3</v>
      </c>
      <c r="E11" s="30">
        <v>4.1149999999999999E-2</v>
      </c>
      <c r="H11" s="147">
        <v>42692</v>
      </c>
      <c r="I11">
        <v>26150.240000000002</v>
      </c>
      <c r="J11">
        <v>277.64999999999998</v>
      </c>
      <c r="K11">
        <v>-2.9499999999999999E-3</v>
      </c>
      <c r="L11" s="30">
        <v>3.79E-3</v>
      </c>
      <c r="P11" s="140">
        <v>42625</v>
      </c>
      <c r="Q11">
        <v>28353.54</v>
      </c>
      <c r="R11">
        <v>290.2</v>
      </c>
      <c r="S11">
        <v>-1.553E-2</v>
      </c>
      <c r="T11">
        <v>-1.1990000000000001E-2</v>
      </c>
    </row>
    <row r="12" spans="1:20" ht="14.25" customHeight="1">
      <c r="A12" s="147">
        <v>42670</v>
      </c>
      <c r="B12">
        <v>27915.9</v>
      </c>
      <c r="C12">
        <v>289.25</v>
      </c>
      <c r="D12">
        <v>2.8500000000000001E-3</v>
      </c>
      <c r="E12" s="30">
        <v>-2.4420000000000001E-2</v>
      </c>
      <c r="H12" s="147">
        <v>42695</v>
      </c>
      <c r="I12">
        <v>25765.14</v>
      </c>
      <c r="J12">
        <v>275.75</v>
      </c>
      <c r="K12">
        <v>-1.4840000000000001E-2</v>
      </c>
      <c r="L12" s="30">
        <v>-6.8700000000000002E-3</v>
      </c>
      <c r="P12" s="140">
        <v>42627</v>
      </c>
      <c r="Q12">
        <v>28372.23</v>
      </c>
      <c r="R12">
        <v>292.64999999999998</v>
      </c>
      <c r="S12">
        <v>6.6E-4</v>
      </c>
      <c r="T12">
        <v>8.4100000000000008E-3</v>
      </c>
    </row>
    <row r="13" spans="1:20" ht="14.25" customHeight="1">
      <c r="A13" s="147">
        <v>42671</v>
      </c>
      <c r="B13">
        <v>27941.51</v>
      </c>
      <c r="C13">
        <v>290.89999999999998</v>
      </c>
      <c r="D13">
        <v>9.2000000000000003E-4</v>
      </c>
      <c r="E13" s="30">
        <v>5.6899999999999997E-3</v>
      </c>
      <c r="H13" s="147">
        <v>42696</v>
      </c>
      <c r="I13">
        <v>25960.78</v>
      </c>
      <c r="J13">
        <v>275.7</v>
      </c>
      <c r="K13">
        <v>7.5599999999999999E-3</v>
      </c>
      <c r="L13" s="30">
        <v>-1.8000000000000001E-4</v>
      </c>
      <c r="P13" s="140">
        <v>42628</v>
      </c>
      <c r="Q13">
        <v>28412.89</v>
      </c>
      <c r="R13">
        <v>292.85000000000002</v>
      </c>
      <c r="S13">
        <v>1.4300000000000001E-3</v>
      </c>
      <c r="T13">
        <v>6.8000000000000005E-4</v>
      </c>
    </row>
    <row r="14" spans="1:20" ht="14.25" customHeight="1">
      <c r="A14" s="147">
        <v>42673</v>
      </c>
      <c r="B14">
        <v>27930.21</v>
      </c>
      <c r="C14">
        <v>292.2</v>
      </c>
      <c r="D14">
        <v>-4.0000000000000002E-4</v>
      </c>
      <c r="E14" s="30">
        <v>4.4600000000000004E-3</v>
      </c>
      <c r="H14" s="147">
        <v>42697</v>
      </c>
      <c r="I14">
        <v>26051.81</v>
      </c>
      <c r="J14">
        <v>280.60000000000002</v>
      </c>
      <c r="K14">
        <v>3.5000000000000001E-3</v>
      </c>
      <c r="L14" s="30">
        <v>1.762E-2</v>
      </c>
      <c r="P14" s="140">
        <v>42629</v>
      </c>
      <c r="Q14">
        <v>28599.03</v>
      </c>
      <c r="R14">
        <v>292.8</v>
      </c>
      <c r="S14">
        <v>6.5300000000000002E-3</v>
      </c>
      <c r="T14">
        <v>-1.7000000000000001E-4</v>
      </c>
    </row>
    <row r="15" spans="1:20" ht="14.25" customHeight="1">
      <c r="A15" s="147">
        <v>42675</v>
      </c>
      <c r="B15">
        <v>27876.61</v>
      </c>
      <c r="C15">
        <v>290.05</v>
      </c>
      <c r="D15">
        <v>-1.92E-3</v>
      </c>
      <c r="E15" s="30">
        <v>-7.3899999999999999E-3</v>
      </c>
      <c r="H15" s="147">
        <v>42698</v>
      </c>
      <c r="I15">
        <v>25860.17</v>
      </c>
      <c r="J15">
        <v>277.10000000000002</v>
      </c>
      <c r="K15">
        <v>-7.3800000000000003E-3</v>
      </c>
      <c r="L15" s="30">
        <v>-1.255E-2</v>
      </c>
      <c r="P15" s="140">
        <v>42632</v>
      </c>
      <c r="Q15">
        <v>28634.5</v>
      </c>
      <c r="R15">
        <v>293.89999999999998</v>
      </c>
      <c r="S15">
        <v>1.24E-3</v>
      </c>
      <c r="T15">
        <v>3.7499999999999999E-3</v>
      </c>
    </row>
    <row r="16" spans="1:20" ht="14.25" customHeight="1">
      <c r="A16" s="147">
        <v>42676</v>
      </c>
      <c r="B16">
        <v>27527.22</v>
      </c>
      <c r="C16">
        <v>294.3</v>
      </c>
      <c r="D16">
        <v>-1.261E-2</v>
      </c>
      <c r="E16" s="30">
        <v>1.455E-2</v>
      </c>
      <c r="H16" s="147">
        <v>42699</v>
      </c>
      <c r="I16">
        <v>26316.34</v>
      </c>
      <c r="J16">
        <v>276.05</v>
      </c>
      <c r="K16">
        <v>1.7489999999999999E-2</v>
      </c>
      <c r="L16" s="30">
        <v>-3.8E-3</v>
      </c>
      <c r="P16" s="140">
        <v>42633</v>
      </c>
      <c r="Q16">
        <v>28523.200000000001</v>
      </c>
      <c r="R16">
        <v>291.14999999999998</v>
      </c>
      <c r="S16">
        <v>-3.8899999999999998E-3</v>
      </c>
      <c r="T16">
        <v>-9.4000000000000004E-3</v>
      </c>
    </row>
    <row r="17" spans="1:20" ht="14.25" customHeight="1">
      <c r="A17" s="147">
        <v>42677</v>
      </c>
      <c r="B17">
        <v>27430.28</v>
      </c>
      <c r="C17">
        <v>291.89999999999998</v>
      </c>
      <c r="D17">
        <v>-3.5300000000000002E-3</v>
      </c>
      <c r="E17" s="30">
        <v>-8.1899999999999994E-3</v>
      </c>
      <c r="H17" s="147">
        <v>42702</v>
      </c>
      <c r="I17">
        <v>26350.17</v>
      </c>
      <c r="J17">
        <v>276.95</v>
      </c>
      <c r="K17">
        <v>1.2800000000000001E-3</v>
      </c>
      <c r="L17" s="30">
        <v>3.2499999999999999E-3</v>
      </c>
      <c r="P17" s="140">
        <v>42634</v>
      </c>
      <c r="Q17">
        <v>28507.42</v>
      </c>
      <c r="R17">
        <v>289.14999999999998</v>
      </c>
      <c r="S17">
        <v>-5.5000000000000003E-4</v>
      </c>
      <c r="T17">
        <v>-6.8900000000000003E-3</v>
      </c>
    </row>
    <row r="18" spans="1:20" ht="14.25" customHeight="1">
      <c r="A18" s="147">
        <v>42678</v>
      </c>
      <c r="B18">
        <v>27274.15</v>
      </c>
      <c r="C18">
        <v>297.14999999999998</v>
      </c>
      <c r="D18">
        <v>-5.7099999999999998E-3</v>
      </c>
      <c r="E18" s="30">
        <v>1.7829999999999999E-2</v>
      </c>
      <c r="H18" s="147">
        <v>42703</v>
      </c>
      <c r="I18">
        <v>26394.01</v>
      </c>
      <c r="J18">
        <v>277.2</v>
      </c>
      <c r="K18">
        <v>1.66E-3</v>
      </c>
      <c r="L18" s="30">
        <v>8.9999999999999998E-4</v>
      </c>
      <c r="P18" s="140">
        <v>42635</v>
      </c>
      <c r="Q18">
        <v>28773.13</v>
      </c>
      <c r="R18">
        <v>286.05</v>
      </c>
      <c r="S18">
        <v>9.2800000000000001E-3</v>
      </c>
      <c r="T18">
        <v>-1.078E-2</v>
      </c>
    </row>
    <row r="19" spans="1:20" ht="14.25" customHeight="1">
      <c r="A19" s="147">
        <v>42681</v>
      </c>
      <c r="B19">
        <v>27458.99</v>
      </c>
      <c r="C19">
        <v>296.8</v>
      </c>
      <c r="D19">
        <v>6.7499999999999999E-3</v>
      </c>
      <c r="E19" s="30">
        <v>-1.1800000000000001E-3</v>
      </c>
      <c r="H19" s="148">
        <v>42704</v>
      </c>
      <c r="I19" s="20">
        <v>26652.81</v>
      </c>
      <c r="J19" s="20">
        <v>283.35000000000002</v>
      </c>
      <c r="K19" s="20">
        <v>9.7599999999999996E-3</v>
      </c>
      <c r="L19" s="21">
        <v>2.1940000000000001E-2</v>
      </c>
      <c r="P19" s="140">
        <v>42636</v>
      </c>
      <c r="Q19">
        <v>28668.22</v>
      </c>
      <c r="R19">
        <v>282.7</v>
      </c>
      <c r="S19">
        <v>-3.65E-3</v>
      </c>
      <c r="T19">
        <v>-1.1780000000000001E-2</v>
      </c>
    </row>
    <row r="20" spans="1:20" ht="14.25" customHeight="1">
      <c r="A20" s="148">
        <v>42682</v>
      </c>
      <c r="B20" s="20">
        <v>27591.14</v>
      </c>
      <c r="C20" s="20">
        <v>297.5</v>
      </c>
      <c r="D20" s="20">
        <v>4.7999999999999996E-3</v>
      </c>
      <c r="E20" s="21">
        <v>2.3600000000000001E-3</v>
      </c>
      <c r="P20" s="140">
        <v>42639</v>
      </c>
      <c r="Q20">
        <v>28294.28</v>
      </c>
      <c r="R20">
        <v>281.3</v>
      </c>
      <c r="S20">
        <v>-1.3129999999999999E-2</v>
      </c>
      <c r="T20">
        <v>-4.96E-3</v>
      </c>
    </row>
    <row r="21" spans="1:20" ht="14.25" customHeight="1">
      <c r="P21" s="140">
        <v>42640</v>
      </c>
      <c r="Q21">
        <v>28223.7</v>
      </c>
      <c r="R21">
        <v>282</v>
      </c>
      <c r="S21">
        <v>-2.5000000000000001E-3</v>
      </c>
      <c r="T21">
        <v>2.49E-3</v>
      </c>
    </row>
    <row r="22" spans="1:20" ht="15" customHeight="1">
      <c r="B22" s="149" t="s">
        <v>267</v>
      </c>
      <c r="C22" s="150">
        <f>AVERAGE(E5:E20)</f>
        <v>5.6581250000000017E-3</v>
      </c>
      <c r="D22" s="151">
        <f>AVERAGE(D5:D20)</f>
        <v>1.3812500000000012E-4</v>
      </c>
      <c r="I22" s="152" t="s">
        <v>267</v>
      </c>
      <c r="J22" s="153">
        <f>AVERAGE(L5:L19)</f>
        <v>-3.2500000000000003E-3</v>
      </c>
      <c r="K22" s="154">
        <f>AVERAGE(K5:K19)</f>
        <v>-2.3073333333333331E-3</v>
      </c>
      <c r="P22" s="140">
        <v>42641</v>
      </c>
      <c r="Q22">
        <v>28292.81</v>
      </c>
      <c r="R22">
        <v>277.39999999999998</v>
      </c>
      <c r="S22">
        <v>2.4499999999999999E-3</v>
      </c>
      <c r="T22">
        <v>-1.6449999999999999E-2</v>
      </c>
    </row>
    <row r="23" spans="1:20" ht="15" customHeight="1">
      <c r="B23" s="155" t="s">
        <v>268</v>
      </c>
      <c r="C23" s="156">
        <f>INTERCEPT(E5:E20,D5:D20)</f>
        <v>5.742272076150085E-3</v>
      </c>
      <c r="D23" s="157"/>
      <c r="I23" s="158" t="s">
        <v>268</v>
      </c>
      <c r="J23" s="159">
        <f>INTERCEPT(L5:L19,K5:K19)</f>
        <v>-4.8232946332409359E-4</v>
      </c>
      <c r="K23" s="160"/>
      <c r="P23" s="140">
        <v>42642</v>
      </c>
      <c r="Q23">
        <v>27827.53</v>
      </c>
      <c r="R23">
        <v>270.05</v>
      </c>
      <c r="S23">
        <v>-1.6580000000000001E-2</v>
      </c>
      <c r="T23">
        <v>-2.6849999999999999E-2</v>
      </c>
    </row>
    <row r="24" spans="1:20" ht="15" customHeight="1">
      <c r="B24" s="161" t="s">
        <v>264</v>
      </c>
      <c r="C24" s="162">
        <f>SLOPE(E5:E20,D5:D20)</f>
        <v>-0.60920960108657352</v>
      </c>
      <c r="D24" s="163"/>
      <c r="I24" s="164" t="s">
        <v>264</v>
      </c>
      <c r="J24" s="165">
        <f>SLOPE(L5:L19,K5:K19)</f>
        <v>1.1995104897468536</v>
      </c>
      <c r="K24" s="166"/>
      <c r="P24" s="140">
        <v>42643</v>
      </c>
      <c r="Q24">
        <v>27865.96</v>
      </c>
      <c r="R24">
        <v>271.3</v>
      </c>
      <c r="S24">
        <v>1.3799999999999999E-3</v>
      </c>
      <c r="T24">
        <v>4.62E-3</v>
      </c>
    </row>
    <row r="25" spans="1:20" ht="14.25" customHeight="1">
      <c r="P25" s="140">
        <v>42646</v>
      </c>
      <c r="Q25">
        <v>28243.29</v>
      </c>
      <c r="R25">
        <v>276.2</v>
      </c>
      <c r="S25">
        <v>1.345E-2</v>
      </c>
      <c r="T25">
        <v>1.7899999999999999E-2</v>
      </c>
    </row>
    <row r="26" spans="1:20" ht="14.25" customHeight="1">
      <c r="P26" s="140">
        <v>42647</v>
      </c>
      <c r="Q26">
        <v>28334.55</v>
      </c>
      <c r="R26">
        <v>280.05</v>
      </c>
      <c r="S26">
        <v>3.2299999999999998E-3</v>
      </c>
      <c r="T26">
        <v>1.384E-2</v>
      </c>
    </row>
    <row r="27" spans="1:20" ht="14.25" customHeight="1">
      <c r="P27" s="140">
        <v>42648</v>
      </c>
      <c r="Q27">
        <v>28220.98</v>
      </c>
      <c r="R27">
        <v>282.89999999999998</v>
      </c>
      <c r="S27">
        <v>-4.0200000000000001E-3</v>
      </c>
      <c r="T27">
        <v>1.013E-2</v>
      </c>
    </row>
    <row r="28" spans="1:20" ht="14.25" customHeight="1">
      <c r="P28" s="140">
        <v>42649</v>
      </c>
      <c r="Q28">
        <v>28106.21</v>
      </c>
      <c r="R28">
        <v>285.89999999999998</v>
      </c>
      <c r="S28">
        <v>-4.0800000000000003E-3</v>
      </c>
      <c r="T28">
        <v>1.055E-2</v>
      </c>
    </row>
    <row r="29" spans="1:20" ht="14.25" customHeight="1">
      <c r="P29" s="140">
        <v>42650</v>
      </c>
      <c r="Q29">
        <v>28061.14</v>
      </c>
      <c r="R29">
        <v>284</v>
      </c>
      <c r="S29">
        <v>-1.6000000000000001E-3</v>
      </c>
      <c r="T29">
        <v>-6.6699999999999997E-3</v>
      </c>
    </row>
    <row r="30" spans="1:20" ht="14.25" customHeight="1">
      <c r="P30" s="140">
        <v>42653</v>
      </c>
      <c r="Q30">
        <v>28082.34</v>
      </c>
      <c r="R30">
        <v>285.55</v>
      </c>
      <c r="S30">
        <v>7.6000000000000004E-4</v>
      </c>
      <c r="T30">
        <v>5.4400000000000004E-3</v>
      </c>
    </row>
    <row r="31" spans="1:20" ht="14.25" customHeight="1">
      <c r="P31" s="140">
        <v>42656</v>
      </c>
      <c r="Q31">
        <v>27643.11</v>
      </c>
      <c r="R31">
        <v>282.89999999999998</v>
      </c>
      <c r="S31">
        <v>-1.576E-2</v>
      </c>
      <c r="T31">
        <v>-9.3200000000000002E-3</v>
      </c>
    </row>
    <row r="32" spans="1:20" ht="14.25" customHeight="1">
      <c r="P32" s="140">
        <v>42657</v>
      </c>
      <c r="Q32">
        <v>27673.599999999999</v>
      </c>
      <c r="R32">
        <v>279.7</v>
      </c>
      <c r="S32">
        <v>1.1000000000000001E-3</v>
      </c>
      <c r="T32">
        <v>-1.1379999999999999E-2</v>
      </c>
    </row>
    <row r="33" spans="16:20" ht="14.25" customHeight="1">
      <c r="P33" s="140">
        <v>42660</v>
      </c>
      <c r="Q33">
        <v>27529.97</v>
      </c>
      <c r="R33">
        <v>271.75</v>
      </c>
      <c r="S33">
        <v>-5.1999999999999998E-3</v>
      </c>
      <c r="T33">
        <v>-2.8840000000000001E-2</v>
      </c>
    </row>
    <row r="36" spans="16:20" ht="14.25" customHeight="1">
      <c r="R36" s="152" t="s">
        <v>267</v>
      </c>
      <c r="S36" s="153">
        <f>AVERAGE(T5:T33)</f>
        <v>-2.3244827586206894E-3</v>
      </c>
      <c r="T36" s="154">
        <f>AVERAGE(S5:S33)</f>
        <v>-1.1355172413793104E-3</v>
      </c>
    </row>
    <row r="37" spans="16:20" ht="14.25" customHeight="1">
      <c r="R37" s="158" t="s">
        <v>268</v>
      </c>
      <c r="S37" s="159">
        <f>INTERCEPT(T5:T33,S5:S33)</f>
        <v>-1.3552973090064195E-3</v>
      </c>
      <c r="T37" s="160"/>
    </row>
    <row r="38" spans="16:20" ht="14.25" customHeight="1">
      <c r="R38" s="164" t="s">
        <v>264</v>
      </c>
      <c r="S38" s="165">
        <f>SLOPE(T5:T33,S5:S33)</f>
        <v>0.85351892009759578</v>
      </c>
      <c r="T38" s="166"/>
    </row>
  </sheetData>
  <mergeCells count="2">
    <mergeCell ref="B2:D2"/>
    <mergeCell ref="J2:K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6"/>
  <sheetViews>
    <sheetView zoomScaleNormal="100" workbookViewId="0">
      <selection activeCell="E19" sqref="E19"/>
    </sheetView>
  </sheetViews>
  <sheetFormatPr defaultColWidth="8.6640625" defaultRowHeight="14.4"/>
  <cols>
    <col min="1" max="1" width="15" customWidth="1"/>
    <col min="2" max="2" width="16" customWidth="1"/>
    <col min="3" max="3" width="15.33203125" customWidth="1"/>
    <col min="4" max="4" width="24.77734375" customWidth="1"/>
    <col min="5" max="5" width="15.21875" customWidth="1"/>
  </cols>
  <sheetData>
    <row r="1" spans="1:12" ht="15" customHeight="1"/>
    <row r="2" spans="1:12" ht="14.25" customHeight="1">
      <c r="A2" s="167" t="s">
        <v>269</v>
      </c>
      <c r="B2" s="168" t="s">
        <v>270</v>
      </c>
      <c r="C2" s="169" t="s">
        <v>271</v>
      </c>
      <c r="D2" s="13" t="s">
        <v>272</v>
      </c>
    </row>
    <row r="3" spans="1:12" ht="14.25" customHeight="1">
      <c r="A3" s="170"/>
      <c r="C3" s="41"/>
    </row>
    <row r="4" spans="1:12" ht="14.25" customHeight="1">
      <c r="A4" s="171">
        <v>0</v>
      </c>
      <c r="B4" s="172">
        <v>0</v>
      </c>
      <c r="C4" s="41">
        <f>$B$14*(1+B4*(1-B16))</f>
        <v>0.515631234643674</v>
      </c>
    </row>
    <row r="5" spans="1:12" ht="14.25" customHeight="1">
      <c r="A5" s="171">
        <v>0.1</v>
      </c>
      <c r="B5" s="172">
        <f>A5/90%</f>
        <v>0.11111111111111112</v>
      </c>
      <c r="C5" s="41">
        <f>$B$14*(1+B5*(1-B17))</f>
        <v>0.57292359404852666</v>
      </c>
    </row>
    <row r="6" spans="1:12" ht="14.25" customHeight="1">
      <c r="A6" s="171">
        <v>0.25</v>
      </c>
      <c r="B6" s="172">
        <f>A6/75%</f>
        <v>0.33333333333333331</v>
      </c>
      <c r="C6" s="41">
        <f>$B$14*(1+B6*(1-D18))</f>
        <v>0.687508312858232</v>
      </c>
    </row>
    <row r="7" spans="1:12" ht="14.25" customHeight="1">
      <c r="A7" s="171">
        <v>0.35</v>
      </c>
      <c r="B7" s="172">
        <f>A7/65%</f>
        <v>0.53846153846153844</v>
      </c>
      <c r="C7" s="41">
        <f>$B$14*(1+B7*(1-D19))</f>
        <v>0.79327882252872917</v>
      </c>
    </row>
    <row r="8" spans="1:12" ht="14.25" customHeight="1">
      <c r="A8" s="171">
        <v>0.5</v>
      </c>
      <c r="B8" s="172">
        <f>A8/50%</f>
        <v>1</v>
      </c>
      <c r="C8" s="41">
        <f>$B$14*(1+B8*(1-D20))</f>
        <v>1.031262469287348</v>
      </c>
    </row>
    <row r="9" spans="1:12" ht="15" customHeight="1">
      <c r="A9" s="173">
        <v>0.75</v>
      </c>
      <c r="B9" s="174">
        <f>A9/25%</f>
        <v>3</v>
      </c>
      <c r="C9" s="55">
        <f>$B$14*(1+B9*(1-D21))</f>
        <v>2.062524938574696</v>
      </c>
    </row>
    <row r="10" spans="1:12" ht="14.25" customHeight="1">
      <c r="A10" s="172"/>
    </row>
    <row r="11" spans="1:12" ht="15" customHeight="1"/>
    <row r="12" spans="1:12" ht="14.25" customHeight="1">
      <c r="A12" s="175" t="s">
        <v>273</v>
      </c>
      <c r="B12" s="176">
        <v>2016</v>
      </c>
      <c r="C12" s="176">
        <v>2017</v>
      </c>
      <c r="D12" s="176">
        <v>2018</v>
      </c>
      <c r="E12" s="176">
        <v>2019</v>
      </c>
      <c r="F12" s="176">
        <v>2020</v>
      </c>
      <c r="G12" s="176">
        <v>2021</v>
      </c>
      <c r="H12" s="176">
        <v>2022</v>
      </c>
      <c r="I12" s="176">
        <v>2023</v>
      </c>
      <c r="J12" s="176">
        <v>2024</v>
      </c>
      <c r="K12" s="177">
        <v>2025</v>
      </c>
    </row>
    <row r="13" spans="1:12" ht="14.25" customHeight="1">
      <c r="A13" s="178" t="s">
        <v>274</v>
      </c>
      <c r="B13">
        <f>Bal.sheet!K11/Bal.sheet!K8</f>
        <v>5.1017810162340423E-2</v>
      </c>
      <c r="C13">
        <f>Bal.sheet!J11/Bal.sheet!J8</f>
        <v>0.11220802357646807</v>
      </c>
      <c r="D13">
        <f>Bal.sheet!I11/Bal.sheet!I8</f>
        <v>9.7895935662840716E-2</v>
      </c>
      <c r="E13">
        <f>Bal.sheet!H11/Bal.sheet!H8</f>
        <v>9.5530767223693566E-2</v>
      </c>
      <c r="F13">
        <f>Bal.sheet!G11/Bal.sheet!G8</f>
        <v>3.3363505848397951E-2</v>
      </c>
      <c r="G13">
        <f>Bal.sheet!F11/Bal.sheet!F8</f>
        <v>3.2934504823762693E-2</v>
      </c>
      <c r="H13">
        <f>Bal.sheet!E11/Bal.sheet!E8</f>
        <v>7.807358358403757E-2</v>
      </c>
      <c r="I13">
        <f>Bal.sheet!D11/Bal.sheet!D8</f>
        <v>6.7806835334030466E-2</v>
      </c>
      <c r="J13">
        <f>Bal.sheet!C11/Bal.sheet!C8</f>
        <v>7.7572254967358145E-2</v>
      </c>
      <c r="K13" s="41">
        <f>Bal.sheet!B11/Bal.sheet!B8</f>
        <v>2.8190635008354097E-2</v>
      </c>
    </row>
    <row r="14" spans="1:12" ht="14.25" customHeight="1">
      <c r="A14" s="178" t="s">
        <v>275</v>
      </c>
      <c r="B14" s="141">
        <v>0.515631234643674</v>
      </c>
      <c r="K14" s="41"/>
    </row>
    <row r="15" spans="1:12" ht="14.25" customHeight="1">
      <c r="A15" s="178" t="s">
        <v>271</v>
      </c>
      <c r="B15">
        <f t="shared" ref="B15:K15" si="0">$B$14*(1+B13*(1-B16))</f>
        <v>0.53630132283239451</v>
      </c>
      <c r="C15">
        <f t="shared" si="0"/>
        <v>0.55959497128700075</v>
      </c>
      <c r="D15">
        <f t="shared" si="0"/>
        <v>0.55359842435162876</v>
      </c>
      <c r="E15">
        <f t="shared" si="0"/>
        <v>0.5527900827586395</v>
      </c>
      <c r="F15">
        <f t="shared" si="0"/>
        <v>0.52763860038389976</v>
      </c>
      <c r="G15">
        <f t="shared" si="0"/>
        <v>0.52958926856626287</v>
      </c>
      <c r="H15">
        <f t="shared" si="0"/>
        <v>0.547843176212511</v>
      </c>
      <c r="I15">
        <f t="shared" si="0"/>
        <v>0.54249055026031012</v>
      </c>
      <c r="J15">
        <f t="shared" si="0"/>
        <v>0.54660392296496141</v>
      </c>
      <c r="K15" s="41">
        <f t="shared" si="0"/>
        <v>0.52700719171009536</v>
      </c>
      <c r="L15" s="13" t="s">
        <v>276</v>
      </c>
    </row>
    <row r="16" spans="1:12" ht="15" customHeight="1">
      <c r="A16" s="179" t="s">
        <v>277</v>
      </c>
      <c r="B16" s="174">
        <f>Assumption!B27</f>
        <v>0.21425559184685991</v>
      </c>
      <c r="C16" s="174">
        <f>Assumption!C27</f>
        <v>0.24014370147178121</v>
      </c>
      <c r="D16" s="174">
        <f>Assumption!D27</f>
        <v>0.2478498030048138</v>
      </c>
      <c r="E16" s="174">
        <f>Assumption!E27</f>
        <v>0.24563807496590948</v>
      </c>
      <c r="F16" s="174">
        <f>Assumption!F27</f>
        <v>0.30202986219088795</v>
      </c>
      <c r="G16" s="174">
        <f>Assumption!G27</f>
        <v>0.17807177525233023</v>
      </c>
      <c r="H16" s="174">
        <f>Assumption!H27</f>
        <v>0.19984601673776969</v>
      </c>
      <c r="I16" s="174">
        <f>Assumption!I27</f>
        <v>0.23178594278902154</v>
      </c>
      <c r="J16" s="174">
        <f>Assumption!J27</f>
        <v>0.2256571922509788</v>
      </c>
      <c r="K16" s="180">
        <f>Assumption!K27</f>
        <v>0.21739274693918181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zoomScaleNormal="100" workbookViewId="0">
      <selection activeCell="H16" sqref="H16"/>
    </sheetView>
  </sheetViews>
  <sheetFormatPr defaultColWidth="8.6640625" defaultRowHeight="14.4"/>
  <cols>
    <col min="1" max="1" width="28" customWidth="1"/>
    <col min="2" max="2" width="16" customWidth="1"/>
    <col min="3" max="3" width="14" customWidth="1"/>
    <col min="4" max="4" width="6" customWidth="1"/>
    <col min="5" max="5" width="14" customWidth="1"/>
  </cols>
  <sheetData>
    <row r="1" spans="1:5" ht="14.25" customHeight="1">
      <c r="A1" s="310" t="s">
        <v>278</v>
      </c>
      <c r="B1" s="311"/>
      <c r="C1" s="311"/>
      <c r="D1" s="311"/>
      <c r="E1" s="312"/>
    </row>
    <row r="2" spans="1:5" ht="14.25" customHeight="1">
      <c r="A2" s="300" t="s">
        <v>273</v>
      </c>
      <c r="B2" s="181" t="s">
        <v>279</v>
      </c>
      <c r="C2" s="181" t="s">
        <v>143</v>
      </c>
      <c r="D2" s="301"/>
      <c r="E2" s="302" t="s">
        <v>280</v>
      </c>
    </row>
    <row r="3" spans="1:5" ht="14.25" customHeight="1">
      <c r="A3" s="303">
        <v>2025</v>
      </c>
      <c r="B3" s="183">
        <f>Assumption!K17/(Assumption!K78-Assumption!K71)</f>
        <v>0.38151490090067847</v>
      </c>
      <c r="C3" s="185">
        <f>AVERAGE(B3:B3)</f>
        <v>0.38151490090067847</v>
      </c>
      <c r="D3" s="304" t="s">
        <v>248</v>
      </c>
      <c r="E3" s="305">
        <f>Assumption!K33/Assumption!K78</f>
        <v>0.17850505307315834</v>
      </c>
    </row>
    <row r="4" spans="1:5" ht="14.25" customHeight="1">
      <c r="A4" s="303">
        <v>2024</v>
      </c>
      <c r="B4" s="183">
        <f>Assumption!J17/(Assumption!J78-Assumption!J71)</f>
        <v>0.39094302789863855</v>
      </c>
      <c r="C4" s="185">
        <f>AVERAGE(B4:B4)</f>
        <v>0.39094302789863855</v>
      </c>
      <c r="D4" s="301"/>
      <c r="E4" s="305">
        <f>Assumption!J33/Assumption!J78</f>
        <v>0.19469482890204409</v>
      </c>
    </row>
    <row r="5" spans="1:5" ht="14.25" customHeight="1">
      <c r="A5" s="303">
        <v>2023</v>
      </c>
      <c r="B5" s="183">
        <f>Assumption!I17/(Assumption!I78-Assumption!I71)</f>
        <v>0.4021967066588743</v>
      </c>
      <c r="C5" s="185">
        <f>AVERAGE(B5:B5)</f>
        <v>0.4021967066588743</v>
      </c>
      <c r="D5" s="301"/>
      <c r="E5" s="305">
        <f>Assumption!I33/Assumption!I78</f>
        <v>0.19858118352438492</v>
      </c>
    </row>
    <row r="6" spans="1:5" ht="14.25" customHeight="1">
      <c r="A6" s="303">
        <v>2022</v>
      </c>
      <c r="B6" s="183">
        <f>Assumption!H17/(Assumption!H78-Assumption!H71)</f>
        <v>0.42293908421729481</v>
      </c>
      <c r="C6" s="185">
        <f>AVERAGE(B6:B6)</f>
        <v>0.42293908421729481</v>
      </c>
      <c r="D6" s="301"/>
      <c r="E6" s="305">
        <f>Assumption!H33/Assumption!H78</f>
        <v>0.22104375261184883</v>
      </c>
    </row>
    <row r="7" spans="1:5" ht="14.25" customHeight="1">
      <c r="A7" s="303">
        <v>2021</v>
      </c>
      <c r="B7" s="183">
        <f>Assumption!G17/(Assumption!G78-Assumption!G71)</f>
        <v>0.4496463087641861</v>
      </c>
      <c r="C7" s="185">
        <f>AVERAGE(B7:B7)</f>
        <v>0.4496463087641861</v>
      </c>
      <c r="D7" s="301"/>
      <c r="E7" s="305">
        <f>Assumption!G33/Assumption!G78</f>
        <v>0.24542777997906898</v>
      </c>
    </row>
    <row r="8" spans="1:5" ht="14.25" customHeight="1">
      <c r="A8" s="303">
        <v>2020</v>
      </c>
      <c r="B8" s="183">
        <f>Assumption!F17/(Assumption!F78-Assumption!F71)</f>
        <v>0.4328657719088328</v>
      </c>
      <c r="C8" s="185">
        <f>AVERAGE(B8:B8)</f>
        <v>0.4328657719088328</v>
      </c>
      <c r="D8" s="301"/>
      <c r="E8" s="305">
        <f>Assumption!F33/Assumption!F78</f>
        <v>0.25919949500755607</v>
      </c>
    </row>
    <row r="9" spans="1:5" ht="14.25" customHeight="1">
      <c r="A9" s="303">
        <v>2019</v>
      </c>
      <c r="B9" s="183">
        <f>Assumption!E17/(Assumption!E78-Assumption!E71)</f>
        <v>0.47605705552725397</v>
      </c>
      <c r="C9" s="185">
        <f>AVERAGE(B9:B9)</f>
        <v>0.47605705552725397</v>
      </c>
      <c r="D9" s="301"/>
      <c r="E9" s="305">
        <f>Assumption!E33/Assumption!E78</f>
        <v>0.29142527675276753</v>
      </c>
    </row>
    <row r="10" spans="1:5" ht="14.25" customHeight="1">
      <c r="A10" s="303">
        <v>2018</v>
      </c>
      <c r="B10" s="183">
        <f>Assumption!D17/(Assumption!D78-Assumption!D71)</f>
        <v>0.39443380083946361</v>
      </c>
      <c r="C10" s="185">
        <f>AVERAGE(B10:B10)</f>
        <v>0.39443380083946361</v>
      </c>
      <c r="D10" s="301"/>
      <c r="E10" s="305">
        <f>Assumption!D33/Assumption!D78</f>
        <v>0.23669588594847366</v>
      </c>
    </row>
    <row r="11" spans="1:5" ht="14.25" customHeight="1">
      <c r="A11" s="303">
        <v>2017</v>
      </c>
      <c r="B11" s="183">
        <f>Assumption!C17/(Assumption!C78-Assumption!C71)</f>
        <v>0.45057168169990713</v>
      </c>
      <c r="C11" s="185">
        <f>AVERAGE(B11:B11)</f>
        <v>0.45057168169990713</v>
      </c>
      <c r="D11" s="301"/>
      <c r="E11" s="305">
        <f>Assumption!C33/Assumption!C78</f>
        <v>0.25019159199170521</v>
      </c>
    </row>
    <row r="12" spans="1:5" ht="14.25" customHeight="1">
      <c r="A12" s="303">
        <v>2016</v>
      </c>
      <c r="B12" s="183">
        <f>Assumption!B17/(Assumption!B78-Assumption!B71)</f>
        <v>0.64739478910423209</v>
      </c>
      <c r="C12" s="185">
        <f>AVERAGE(B12:B12)</f>
        <v>0.64739478910423209</v>
      </c>
      <c r="D12" s="301"/>
      <c r="E12" s="305">
        <f>Assumption!B33/Assumption!B78</f>
        <v>0.28375589120875377</v>
      </c>
    </row>
    <row r="13" spans="1:5" ht="14.25" customHeight="1">
      <c r="A13" s="306"/>
      <c r="B13" s="184"/>
      <c r="C13" s="184"/>
      <c r="D13" s="301"/>
      <c r="E13" s="41"/>
    </row>
    <row r="14" spans="1:5" ht="14.25" customHeight="1">
      <c r="A14" s="306"/>
      <c r="B14" s="187">
        <f>VAR(B3:B12)</f>
        <v>5.9951240746401891E-3</v>
      </c>
      <c r="C14" s="184"/>
      <c r="D14" s="301"/>
      <c r="E14" s="41"/>
    </row>
    <row r="15" spans="1:5" ht="14.25" customHeight="1">
      <c r="A15" s="306"/>
      <c r="B15" s="187">
        <f>COVAR(B3:B12,C3:C12)</f>
        <v>5.3956116671761813E-3</v>
      </c>
      <c r="C15" s="184"/>
      <c r="D15" s="301"/>
      <c r="E15" s="41"/>
    </row>
    <row r="16" spans="1:5" ht="14.25" customHeight="1" thickBot="1">
      <c r="A16" s="307"/>
      <c r="B16" s="308">
        <f>IF(B14=0,0,B15/B14)</f>
        <v>0.9000000000000018</v>
      </c>
      <c r="C16" s="309"/>
      <c r="D16" s="54"/>
      <c r="E16" s="55"/>
    </row>
    <row r="18" spans="1:5" ht="14.25" customHeight="1">
      <c r="A18" s="313"/>
      <c r="B18" s="313"/>
      <c r="C18" s="313"/>
      <c r="D18" s="313"/>
      <c r="E18" s="313"/>
    </row>
    <row r="19" spans="1:5" ht="14.25" customHeight="1">
      <c r="A19" s="314"/>
      <c r="B19" s="315"/>
      <c r="C19" s="314"/>
      <c r="D19" s="316"/>
      <c r="E19" s="316"/>
    </row>
    <row r="20" spans="1:5" ht="14.25" customHeight="1">
      <c r="A20" s="317"/>
      <c r="B20" s="318"/>
      <c r="C20" s="318"/>
      <c r="D20" s="316"/>
      <c r="E20" s="316"/>
    </row>
    <row r="21" spans="1:5" ht="14.25" customHeight="1">
      <c r="A21" s="317"/>
      <c r="B21" s="318"/>
      <c r="C21" s="318"/>
      <c r="D21" s="316"/>
      <c r="E21" s="316"/>
    </row>
    <row r="22" spans="1:5" ht="14.25" customHeight="1">
      <c r="A22" s="317"/>
      <c r="B22" s="318"/>
      <c r="C22" s="318"/>
      <c r="D22" s="316"/>
      <c r="E22" s="316"/>
    </row>
    <row r="23" spans="1:5">
      <c r="A23" s="316"/>
      <c r="B23" s="316"/>
      <c r="C23" s="316"/>
      <c r="D23" s="316"/>
      <c r="E23" s="316"/>
    </row>
    <row r="24" spans="1:5" ht="14.25" customHeight="1">
      <c r="A24" s="319"/>
      <c r="B24" s="319"/>
      <c r="C24" s="319"/>
      <c r="D24" s="319"/>
      <c r="E24" s="319"/>
    </row>
    <row r="25" spans="1:5" ht="14.25" customHeight="1">
      <c r="A25" s="320"/>
      <c r="B25" s="321"/>
      <c r="C25" s="316"/>
      <c r="D25" s="316"/>
      <c r="E25" s="316"/>
    </row>
    <row r="26" spans="1:5" ht="14.25" customHeight="1">
      <c r="A26" s="320"/>
      <c r="B26" s="321"/>
      <c r="C26" s="316"/>
      <c r="D26" s="316"/>
      <c r="E26" s="316"/>
    </row>
    <row r="27" spans="1:5" ht="14.25" customHeight="1">
      <c r="A27" s="182"/>
      <c r="B27" s="186"/>
    </row>
    <row r="28" spans="1:5" ht="14.25" customHeight="1">
      <c r="A28" s="182"/>
      <c r="B28" s="188"/>
    </row>
    <row r="30" spans="1:5" ht="14.25" customHeight="1">
      <c r="A30" s="189"/>
    </row>
    <row r="31" spans="1:5" ht="14.25" customHeight="1">
      <c r="A31" s="190"/>
      <c r="B31" s="191"/>
    </row>
    <row r="32" spans="1:5" ht="14.25" customHeight="1">
      <c r="A32" s="190"/>
      <c r="B32" s="191"/>
    </row>
    <row r="33" spans="1:2" ht="14.25" customHeight="1">
      <c r="A33" s="190"/>
      <c r="B33" s="191"/>
    </row>
    <row r="34" spans="1:2" ht="14.25" customHeight="1">
      <c r="A34" s="190"/>
      <c r="B34" s="191"/>
    </row>
  </sheetData>
  <mergeCells count="3">
    <mergeCell ref="A18:E18"/>
    <mergeCell ref="A24:E24"/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2"/>
  <sheetViews>
    <sheetView tabSelected="1" zoomScaleNormal="100" workbookViewId="0">
      <selection activeCell="I23" sqref="I23"/>
    </sheetView>
  </sheetViews>
  <sheetFormatPr defaultColWidth="8.6640625" defaultRowHeight="14.4"/>
  <cols>
    <col min="1" max="1" width="20.109375" customWidth="1"/>
    <col min="2" max="2" width="10.109375" customWidth="1"/>
    <col min="3" max="3" width="20.21875" customWidth="1"/>
    <col min="5" max="5" width="38" customWidth="1"/>
    <col min="6" max="6" width="16" customWidth="1"/>
  </cols>
  <sheetData>
    <row r="1" spans="1:6" ht="30" customHeight="1">
      <c r="A1" s="12" t="s">
        <v>299</v>
      </c>
      <c r="B1" s="12"/>
      <c r="C1" s="12"/>
    </row>
    <row r="2" spans="1:6" ht="14.25" customHeight="1">
      <c r="A2" s="194" t="s">
        <v>300</v>
      </c>
      <c r="B2" s="195"/>
      <c r="C2" s="196" t="s">
        <v>301</v>
      </c>
      <c r="E2" s="11" t="s">
        <v>302</v>
      </c>
      <c r="F2" s="11"/>
    </row>
    <row r="3" spans="1:6" ht="14.25" customHeight="1">
      <c r="A3" s="197" t="s">
        <v>303</v>
      </c>
      <c r="B3" s="197" t="s">
        <v>304</v>
      </c>
      <c r="C3" s="198">
        <v>6.6900000000000001E-2</v>
      </c>
      <c r="E3" s="199" t="s">
        <v>305</v>
      </c>
      <c r="F3" s="293">
        <f>C3</f>
        <v>6.6900000000000001E-2</v>
      </c>
    </row>
    <row r="4" spans="1:6" ht="14.25" customHeight="1">
      <c r="A4" s="197" t="s">
        <v>264</v>
      </c>
      <c r="B4" s="197" t="s">
        <v>306</v>
      </c>
      <c r="C4" s="130">
        <f>beta!F3</f>
        <v>0.51563123464367422</v>
      </c>
      <c r="E4" s="199" t="s">
        <v>307</v>
      </c>
      <c r="F4" s="294">
        <f>beta!F3</f>
        <v>0.51563123464367422</v>
      </c>
    </row>
    <row r="5" spans="1:6" ht="14.25" customHeight="1">
      <c r="A5" s="197" t="s">
        <v>262</v>
      </c>
      <c r="B5" s="197" t="s">
        <v>308</v>
      </c>
      <c r="C5" s="200">
        <v>0.12</v>
      </c>
      <c r="E5" s="199" t="s">
        <v>309</v>
      </c>
      <c r="F5" s="293">
        <f>C5-C3</f>
        <v>5.3099999999999994E-2</v>
      </c>
    </row>
    <row r="6" spans="1:6" ht="14.25" customHeight="1">
      <c r="A6" s="197" t="s">
        <v>302</v>
      </c>
      <c r="B6" s="197" t="s">
        <v>310</v>
      </c>
      <c r="C6" s="201">
        <f>C3+C4*(C5-C3)</f>
        <v>9.4280018559579098E-2</v>
      </c>
      <c r="E6" s="202" t="s">
        <v>311</v>
      </c>
      <c r="F6" s="295">
        <f>C6</f>
        <v>9.4280018559579098E-2</v>
      </c>
    </row>
    <row r="7" spans="1:6" ht="14.25" customHeight="1">
      <c r="A7" s="197" t="s">
        <v>312</v>
      </c>
      <c r="B7" s="197"/>
      <c r="C7" s="130">
        <f>Assumption!K19</f>
        <v>99.58</v>
      </c>
    </row>
    <row r="8" spans="1:6" ht="14.25" customHeight="1">
      <c r="A8" s="197" t="s">
        <v>62</v>
      </c>
      <c r="B8" s="197"/>
      <c r="C8" s="130">
        <f>Assumption!K49</f>
        <v>378.72</v>
      </c>
      <c r="E8" s="11" t="s">
        <v>313</v>
      </c>
      <c r="F8" s="11"/>
    </row>
    <row r="9" spans="1:6" ht="14.25" customHeight="1">
      <c r="A9" s="197" t="s">
        <v>313</v>
      </c>
      <c r="B9" s="197" t="s">
        <v>314</v>
      </c>
      <c r="C9" s="130">
        <f>C7/C8</f>
        <v>0.26293831854668354</v>
      </c>
      <c r="E9" s="203" t="s">
        <v>315</v>
      </c>
      <c r="F9" s="296">
        <f>Assumption!K19</f>
        <v>99.58</v>
      </c>
    </row>
    <row r="10" spans="1:6" ht="14.25" customHeight="1">
      <c r="A10" s="197" t="s">
        <v>133</v>
      </c>
      <c r="B10" s="197" t="s">
        <v>316</v>
      </c>
      <c r="C10" s="200">
        <f>Assumption!K27</f>
        <v>0.21739274693918181</v>
      </c>
      <c r="E10" s="199" t="s">
        <v>317</v>
      </c>
      <c r="F10" s="296">
        <f>Assumption!K49</f>
        <v>378.72</v>
      </c>
    </row>
    <row r="11" spans="1:6" ht="14.25" customHeight="1">
      <c r="A11" s="197" t="s">
        <v>186</v>
      </c>
      <c r="B11" s="197"/>
      <c r="C11" s="204">
        <f>Assumption!K45+Assumption!K46</f>
        <v>7423.29</v>
      </c>
      <c r="E11" s="199" t="s">
        <v>318</v>
      </c>
      <c r="F11" s="293">
        <f>IF(F10=0,0,F9/F10)</f>
        <v>0.26293831854668354</v>
      </c>
    </row>
    <row r="12" spans="1:6" ht="14.25" customHeight="1">
      <c r="A12" s="197" t="s">
        <v>319</v>
      </c>
      <c r="B12" s="197"/>
      <c r="C12" s="130">
        <f>C11/(C11+C8)</f>
        <v>0.95145866257541323</v>
      </c>
      <c r="E12" s="205" t="s">
        <v>320</v>
      </c>
      <c r="F12" s="295">
        <f>Assumption!K27</f>
        <v>0.21739274693918181</v>
      </c>
    </row>
    <row r="13" spans="1:6" ht="14.25" customHeight="1">
      <c r="A13" s="197" t="s">
        <v>321</v>
      </c>
      <c r="B13" s="197"/>
      <c r="C13" s="130">
        <f>C8/(C8+C11)</f>
        <v>4.8541337424586745E-2</v>
      </c>
      <c r="E13" s="206" t="s">
        <v>322</v>
      </c>
      <c r="F13" s="297">
        <f>F11*(1-F12)</f>
        <v>0.20577743520225036</v>
      </c>
    </row>
    <row r="14" spans="1:6" ht="14.25" customHeight="1">
      <c r="A14" s="207" t="s">
        <v>323</v>
      </c>
      <c r="B14" s="197"/>
      <c r="C14" s="130">
        <f>C12*C6+C13*C9*(1-C10)</f>
        <v>9.9692252282800736E-2</v>
      </c>
      <c r="E14" s="11" t="s">
        <v>324</v>
      </c>
      <c r="F14" s="11"/>
    </row>
    <row r="15" spans="1:6" ht="14.25" customHeight="1">
      <c r="E15" s="199" t="s">
        <v>317</v>
      </c>
      <c r="F15" s="296">
        <f>Assumption!K49</f>
        <v>378.72</v>
      </c>
    </row>
    <row r="16" spans="1:6" ht="14.25" customHeight="1">
      <c r="E16" s="199" t="s">
        <v>325</v>
      </c>
      <c r="F16" s="296">
        <f>Assumption!K47</f>
        <v>7423.29</v>
      </c>
    </row>
    <row r="17" spans="5:6" ht="14.25" customHeight="1">
      <c r="E17" s="208" t="s">
        <v>326</v>
      </c>
      <c r="F17" s="298">
        <f>F15+F16</f>
        <v>7802.01</v>
      </c>
    </row>
    <row r="18" spans="5:6" ht="14.25" customHeight="1">
      <c r="E18" s="199" t="s">
        <v>327</v>
      </c>
      <c r="F18" s="293">
        <f>IF(F17=0,0,F15/F17)</f>
        <v>4.8541337424586745E-2</v>
      </c>
    </row>
    <row r="19" spans="5:6" ht="14.25" customHeight="1">
      <c r="E19" s="199" t="s">
        <v>328</v>
      </c>
      <c r="F19" s="293">
        <f>IF(F17=0,0,F16/F17)</f>
        <v>0.95145866257541323</v>
      </c>
    </row>
    <row r="20" spans="5:6" ht="14.25" customHeight="1">
      <c r="E20" s="208" t="s">
        <v>329</v>
      </c>
      <c r="F20" s="299">
        <f>IF(F16=0,0,F15/F16)</f>
        <v>5.1017810162340423E-2</v>
      </c>
    </row>
    <row r="22" spans="5:6" ht="14.25" customHeight="1">
      <c r="E22" s="209" t="s">
        <v>330</v>
      </c>
      <c r="F22" s="210">
        <f>C14</f>
        <v>9.9692252282800736E-2</v>
      </c>
    </row>
  </sheetData>
  <mergeCells count="4">
    <mergeCell ref="A1:C1"/>
    <mergeCell ref="E2:F2"/>
    <mergeCell ref="E8:F8"/>
    <mergeCell ref="E14:F1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zoomScaleNormal="100" workbookViewId="0">
      <selection activeCell="I12" sqref="I12"/>
    </sheetView>
  </sheetViews>
  <sheetFormatPr defaultColWidth="8.6640625" defaultRowHeight="14.4"/>
  <cols>
    <col min="1" max="1" width="24.44140625" customWidth="1"/>
  </cols>
  <sheetData>
    <row r="1" spans="1:3" ht="20.25" customHeight="1">
      <c r="A1" s="283" t="s">
        <v>331</v>
      </c>
      <c r="B1" s="283"/>
      <c r="C1" s="283"/>
    </row>
    <row r="2" spans="1:3" ht="14.25" customHeight="1">
      <c r="A2" s="211" t="s">
        <v>300</v>
      </c>
      <c r="B2" s="212"/>
      <c r="C2" s="213" t="s">
        <v>332</v>
      </c>
    </row>
    <row r="3" spans="1:3" ht="14.25" customHeight="1">
      <c r="A3" s="214" t="s">
        <v>323</v>
      </c>
      <c r="B3" s="130"/>
      <c r="C3" s="131">
        <f>WACC!C14</f>
        <v>9.9692252282800736E-2</v>
      </c>
    </row>
    <row r="4" spans="1:3" ht="14.25" customHeight="1">
      <c r="A4" s="214" t="s">
        <v>333</v>
      </c>
      <c r="B4" s="130"/>
      <c r="C4" s="215">
        <f>WACC!C8+WACC!C11</f>
        <v>7802.01</v>
      </c>
    </row>
    <row r="5" spans="1:3" ht="14.25" customHeight="1">
      <c r="A5" s="214" t="s">
        <v>174</v>
      </c>
      <c r="B5" s="130"/>
      <c r="C5" s="216">
        <f>Assumption!K25+Assumption!K19</f>
        <v>1907.9199999999998</v>
      </c>
    </row>
    <row r="6" spans="1:3" ht="14.25" customHeight="1">
      <c r="A6" s="214" t="s">
        <v>334</v>
      </c>
      <c r="B6" s="130"/>
      <c r="C6" s="217">
        <f>Assumption!K27</f>
        <v>0.21739274693918181</v>
      </c>
    </row>
    <row r="7" spans="1:3" ht="14.25" customHeight="1">
      <c r="A7" s="214" t="s">
        <v>335</v>
      </c>
      <c r="B7" s="130"/>
      <c r="C7" s="131">
        <f>C5*(1-C6)</f>
        <v>1493.152030259796</v>
      </c>
    </row>
    <row r="8" spans="1:3" ht="15" customHeight="1">
      <c r="A8" s="218" t="s">
        <v>331</v>
      </c>
      <c r="B8" s="219"/>
      <c r="C8" s="220">
        <f>C7-(C3*C4)</f>
        <v>715.35208102686181</v>
      </c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7"/>
  <sheetViews>
    <sheetView zoomScale="67" zoomScaleNormal="67" workbookViewId="0">
      <selection activeCell="K15" sqref="K15"/>
    </sheetView>
  </sheetViews>
  <sheetFormatPr defaultColWidth="8.6640625" defaultRowHeight="14.4"/>
  <cols>
    <col min="1" max="1" width="30.21875" customWidth="1"/>
    <col min="2" max="2" width="16.77734375" customWidth="1"/>
    <col min="7" max="7" width="22.109375" customWidth="1"/>
    <col min="13" max="13" width="22.109375" customWidth="1"/>
    <col min="14" max="14" width="23.5546875" customWidth="1"/>
  </cols>
  <sheetData>
    <row r="1" spans="1:14" ht="21" customHeight="1">
      <c r="A1" s="84" t="s">
        <v>336</v>
      </c>
    </row>
    <row r="2" spans="1:14" ht="15" customHeight="1">
      <c r="B2" s="221"/>
      <c r="C2" s="221"/>
      <c r="D2" s="221"/>
      <c r="E2" s="221"/>
      <c r="F2" s="221"/>
    </row>
    <row r="3" spans="1:14" ht="14.25" customHeight="1">
      <c r="A3" s="284" t="s">
        <v>337</v>
      </c>
      <c r="B3" s="284"/>
    </row>
    <row r="4" spans="1:14" ht="14.25" customHeight="1">
      <c r="A4" s="222" t="s">
        <v>133</v>
      </c>
      <c r="B4" s="223">
        <f>WACC!C10</f>
        <v>0.21739274693918181</v>
      </c>
    </row>
    <row r="5" spans="1:14" ht="14.25" customHeight="1">
      <c r="A5" s="222" t="s">
        <v>338</v>
      </c>
      <c r="B5" s="41">
        <f>WACC!C14</f>
        <v>9.9692252282800736E-2</v>
      </c>
    </row>
    <row r="6" spans="1:14" ht="14.25" customHeight="1">
      <c r="A6" s="224" t="s">
        <v>339</v>
      </c>
      <c r="B6" s="41">
        <v>0.04</v>
      </c>
    </row>
    <row r="7" spans="1:14" ht="14.25" customHeight="1">
      <c r="A7" s="224" t="s">
        <v>340</v>
      </c>
      <c r="B7" s="225">
        <f ca="1">TODAY()</f>
        <v>46115</v>
      </c>
    </row>
    <row r="8" spans="1:14" ht="14.25" customHeight="1">
      <c r="A8" s="224" t="s">
        <v>341</v>
      </c>
      <c r="B8" s="41" t="s">
        <v>342</v>
      </c>
    </row>
    <row r="9" spans="1:14" ht="14.25" customHeight="1">
      <c r="A9" s="224" t="s">
        <v>343</v>
      </c>
      <c r="B9" s="41">
        <v>525</v>
      </c>
    </row>
    <row r="10" spans="1:14" ht="14.25" customHeight="1">
      <c r="A10" s="224" t="s">
        <v>344</v>
      </c>
      <c r="B10" s="41">
        <f>Bal.sheet!K4</f>
        <v>177.23</v>
      </c>
      <c r="M10" s="285"/>
      <c r="N10" s="285"/>
    </row>
    <row r="11" spans="1:14" ht="14.25" customHeight="1">
      <c r="A11" s="224" t="s">
        <v>345</v>
      </c>
      <c r="B11" s="41">
        <f>Assumption!K49</f>
        <v>378.72</v>
      </c>
      <c r="M11" s="286" t="s">
        <v>346</v>
      </c>
      <c r="N11" s="286"/>
    </row>
    <row r="12" spans="1:14" ht="15" customHeight="1">
      <c r="A12" s="226" t="s">
        <v>347</v>
      </c>
      <c r="B12" s="55">
        <f>Assumption!K64</f>
        <v>133.02000000000001</v>
      </c>
      <c r="M12" s="227" t="s">
        <v>348</v>
      </c>
      <c r="N12" s="228">
        <f>SUM(B28:F28)</f>
        <v>3508.1409025902954</v>
      </c>
    </row>
    <row r="13" spans="1:14" ht="14.25" customHeight="1">
      <c r="M13" s="229" t="s">
        <v>349</v>
      </c>
      <c r="N13" s="230">
        <f>G24</f>
        <v>19442.304328676782</v>
      </c>
    </row>
    <row r="14" spans="1:14" ht="15" customHeight="1">
      <c r="A14" s="231"/>
      <c r="M14" s="232" t="s">
        <v>350</v>
      </c>
      <c r="N14" s="233">
        <f>G28</f>
        <v>12089.042664179393</v>
      </c>
    </row>
    <row r="15" spans="1:14" ht="14.25" customHeight="1">
      <c r="A15" s="287" t="s">
        <v>351</v>
      </c>
      <c r="B15" s="287"/>
      <c r="C15" s="234"/>
      <c r="D15" s="234"/>
      <c r="E15" s="234"/>
      <c r="F15" s="234"/>
      <c r="G15" s="235"/>
      <c r="H15" s="236"/>
      <c r="M15" s="237" t="s">
        <v>352</v>
      </c>
      <c r="N15" s="238">
        <f>N12+N14</f>
        <v>15597.183566769689</v>
      </c>
    </row>
    <row r="16" spans="1:14" ht="24" customHeight="1">
      <c r="A16" s="239" t="s">
        <v>353</v>
      </c>
      <c r="B16" s="240"/>
      <c r="C16" s="240"/>
      <c r="D16" s="240"/>
      <c r="E16" s="240"/>
      <c r="F16" s="240"/>
      <c r="G16" s="241" t="s">
        <v>354</v>
      </c>
      <c r="M16" s="232" t="s">
        <v>355</v>
      </c>
      <c r="N16" s="242">
        <f>$B$11</f>
        <v>378.72</v>
      </c>
    </row>
    <row r="17" spans="1:14" ht="24" customHeight="1">
      <c r="A17" s="239" t="s">
        <v>161</v>
      </c>
      <c r="B17" s="243">
        <v>2026</v>
      </c>
      <c r="C17" s="243">
        <v>2027</v>
      </c>
      <c r="D17" s="243">
        <v>2028</v>
      </c>
      <c r="E17" s="243">
        <v>2029</v>
      </c>
      <c r="F17" s="243">
        <v>2030</v>
      </c>
      <c r="G17" s="241" t="s">
        <v>298</v>
      </c>
      <c r="M17" s="244" t="s">
        <v>356</v>
      </c>
      <c r="N17" s="245">
        <f>$B$12</f>
        <v>133.02000000000001</v>
      </c>
    </row>
    <row r="18" spans="1:14" ht="14.25" customHeight="1">
      <c r="A18" s="246" t="s">
        <v>174</v>
      </c>
      <c r="B18">
        <f>'financial satement'!L22</f>
        <v>1625.9091438061637</v>
      </c>
      <c r="C18">
        <f>'financial satement'!M22</f>
        <v>1642.8425360707693</v>
      </c>
      <c r="D18">
        <f>'financial satement'!N22</f>
        <v>1653.2650303543887</v>
      </c>
      <c r="E18">
        <f>'financial satement'!O22</f>
        <v>1655.9549762103088</v>
      </c>
      <c r="F18">
        <f>'financial satement'!P22</f>
        <v>1649.5121003567122</v>
      </c>
      <c r="G18" s="41"/>
      <c r="M18" s="247" t="s">
        <v>357</v>
      </c>
      <c r="N18" s="248">
        <f>N15-N16+N17</f>
        <v>15351.48356676969</v>
      </c>
    </row>
    <row r="19" spans="1:14" ht="14.25" customHeight="1">
      <c r="A19" s="246" t="s">
        <v>133</v>
      </c>
      <c r="B19" s="172">
        <f>$B$4</f>
        <v>0.21739274693918181</v>
      </c>
      <c r="C19" s="172">
        <f>$B$4</f>
        <v>0.21739274693918181</v>
      </c>
      <c r="D19" s="172">
        <f>$B$4</f>
        <v>0.21739274693918181</v>
      </c>
      <c r="E19" s="172">
        <f>$B$4</f>
        <v>0.21739274693918181</v>
      </c>
      <c r="F19" s="172">
        <f>$B$4</f>
        <v>0.21739274693918181</v>
      </c>
      <c r="G19" s="41"/>
      <c r="M19" s="232" t="s">
        <v>358</v>
      </c>
      <c r="N19" s="249">
        <f>$B$10</f>
        <v>177.23</v>
      </c>
    </row>
    <row r="20" spans="1:14" ht="14.25" customHeight="1">
      <c r="A20" s="246" t="s">
        <v>335</v>
      </c>
      <c r="B20">
        <f>B18*(1-B19)</f>
        <v>1272.4482887606084</v>
      </c>
      <c r="C20">
        <f>C18*(1-C19)</f>
        <v>1285.7004843658128</v>
      </c>
      <c r="D20">
        <f>D18*(1-D19)</f>
        <v>1293.8572039871583</v>
      </c>
      <c r="E20">
        <f>E18*(1-E19)</f>
        <v>1295.9623751243423</v>
      </c>
      <c r="F20">
        <f>F18*(1-F19)</f>
        <v>1290.920133750747</v>
      </c>
      <c r="G20" s="41"/>
      <c r="M20" s="232" t="s">
        <v>359</v>
      </c>
      <c r="N20" s="250">
        <f>N18/N19</f>
        <v>86.618989825479261</v>
      </c>
    </row>
    <row r="21" spans="1:14" ht="14.25" customHeight="1">
      <c r="A21" s="246" t="s">
        <v>360</v>
      </c>
      <c r="B21">
        <f>'financial satement'!L21</f>
        <v>288.76430426000104</v>
      </c>
      <c r="C21">
        <f>'financial satement'!M21</f>
        <v>332.30312603021736</v>
      </c>
      <c r="D21">
        <f>'financial satement'!N21</f>
        <v>382.40657152010181</v>
      </c>
      <c r="E21">
        <f>'financial satement'!O21</f>
        <v>440.06443059600093</v>
      </c>
      <c r="F21">
        <f>'financial satement'!P21</f>
        <v>506.41573000688521</v>
      </c>
      <c r="G21" s="41"/>
      <c r="M21" s="232" t="s">
        <v>361</v>
      </c>
      <c r="N21" s="250">
        <f>$B$9</f>
        <v>525</v>
      </c>
    </row>
    <row r="22" spans="1:14" ht="14.25" customHeight="1">
      <c r="A22" s="246" t="s">
        <v>362</v>
      </c>
      <c r="B22">
        <f>'PPE Schedule'!L6</f>
        <v>369.92370283098052</v>
      </c>
      <c r="C22">
        <f>'PPE Schedule'!M6</f>
        <v>391.912299443194</v>
      </c>
      <c r="D22">
        <f>'PPE Schedule'!N6</f>
        <v>415.20791795553032</v>
      </c>
      <c r="E22">
        <f>'PPE Schedule'!O6</f>
        <v>439.8882489217583</v>
      </c>
      <c r="F22">
        <f>'PPE Schedule'!P6</f>
        <v>466.03560089182906</v>
      </c>
      <c r="G22" s="41"/>
      <c r="M22" s="232" t="s">
        <v>363</v>
      </c>
      <c r="N22" s="249">
        <f>$B$10</f>
        <v>177.23</v>
      </c>
    </row>
    <row r="23" spans="1:14" ht="14.25" customHeight="1">
      <c r="A23" s="246" t="s">
        <v>364</v>
      </c>
      <c r="B23" s="79">
        <f>Assumption!L85</f>
        <v>836.93004431310192</v>
      </c>
      <c r="C23" s="79">
        <f>Assumption!M85</f>
        <v>134.61576536116627</v>
      </c>
      <c r="D23" s="79">
        <f>Assumption!N85</f>
        <v>157.91962323284179</v>
      </c>
      <c r="E23" s="79">
        <f>Assumption!O85</f>
        <v>184.68273203363606</v>
      </c>
      <c r="F23" s="79">
        <f>Assumption!P85</f>
        <v>215.38205618660777</v>
      </c>
      <c r="G23" s="41"/>
      <c r="M23" s="251" t="s">
        <v>365</v>
      </c>
      <c r="N23" s="252">
        <f>N22*N21</f>
        <v>93045.75</v>
      </c>
    </row>
    <row r="24" spans="1:14" ht="14.25" customHeight="1">
      <c r="A24" s="253" t="s">
        <v>366</v>
      </c>
      <c r="B24">
        <f>B20+B21-B22-B23</f>
        <v>354.35884587652686</v>
      </c>
      <c r="C24">
        <f>C20+C21-C22-C23</f>
        <v>1091.4755455916697</v>
      </c>
      <c r="D24">
        <f>D20+D21-D22-D23</f>
        <v>1103.136234318888</v>
      </c>
      <c r="E24">
        <f>E20+E21-E22-E23</f>
        <v>1111.4558247649488</v>
      </c>
      <c r="F24">
        <f>F20+F21-F22-F23</f>
        <v>1115.9182066791955</v>
      </c>
      <c r="G24" s="41">
        <f>F24*(1+$B$6)/($B$5-$B$6)</f>
        <v>19442.304328676782</v>
      </c>
    </row>
    <row r="25" spans="1:14" ht="14.25" customHeight="1">
      <c r="A25" s="246" t="s">
        <v>323</v>
      </c>
      <c r="B25">
        <f t="shared" ref="B25:G25" si="0">$B$5</f>
        <v>9.9692252282800736E-2</v>
      </c>
      <c r="C25">
        <f t="shared" si="0"/>
        <v>9.9692252282800736E-2</v>
      </c>
      <c r="D25">
        <f t="shared" si="0"/>
        <v>9.9692252282800736E-2</v>
      </c>
      <c r="E25">
        <f t="shared" si="0"/>
        <v>9.9692252282800736E-2</v>
      </c>
      <c r="F25">
        <f t="shared" si="0"/>
        <v>9.9692252282800736E-2</v>
      </c>
      <c r="G25" s="41">
        <f t="shared" si="0"/>
        <v>9.9692252282800736E-2</v>
      </c>
    </row>
    <row r="26" spans="1:14" ht="14.25" customHeight="1">
      <c r="A26" s="246" t="s">
        <v>367</v>
      </c>
      <c r="B26">
        <v>0</v>
      </c>
      <c r="C26">
        <v>0</v>
      </c>
      <c r="D26">
        <v>0</v>
      </c>
      <c r="E26">
        <v>0</v>
      </c>
      <c r="F26">
        <v>0</v>
      </c>
      <c r="G26" s="41">
        <f>$B$6</f>
        <v>0.04</v>
      </c>
    </row>
    <row r="27" spans="1:14" ht="14.25" customHeight="1">
      <c r="A27" s="246" t="s">
        <v>368</v>
      </c>
      <c r="B27">
        <f>1/(1+$B$5)^1</f>
        <v>0.90934531722320111</v>
      </c>
      <c r="C27">
        <f>1/(1+$B$5)^2</f>
        <v>0.82690890595576427</v>
      </c>
      <c r="D27">
        <f>1/(1+$B$5)^3</f>
        <v>0.75194574140103465</v>
      </c>
      <c r="E27">
        <f>1/(1+$B$5)^4</f>
        <v>0.6837783387489591</v>
      </c>
      <c r="F27">
        <f>1/(1+$B$5)^5</f>
        <v>0.62179063036002569</v>
      </c>
      <c r="G27" s="41">
        <f>1/(1+$B$5)^5</f>
        <v>0.62179063036002569</v>
      </c>
    </row>
    <row r="28" spans="1:14" ht="15" customHeight="1">
      <c r="A28" s="254" t="s">
        <v>369</v>
      </c>
      <c r="B28" s="54">
        <f t="shared" ref="B28:G28" si="1">B24*B27</f>
        <v>322.23455711443773</v>
      </c>
      <c r="C28" s="54">
        <f t="shared" si="1"/>
        <v>902.55084928267854</v>
      </c>
      <c r="D28" s="54">
        <f t="shared" si="1"/>
        <v>829.49859358126173</v>
      </c>
      <c r="E28" s="54">
        <f t="shared" si="1"/>
        <v>759.98941745063087</v>
      </c>
      <c r="F28" s="54">
        <f t="shared" si="1"/>
        <v>693.86748516128637</v>
      </c>
      <c r="G28" s="55">
        <f t="shared" si="1"/>
        <v>12089.042664179393</v>
      </c>
    </row>
    <row r="30" spans="1:14" ht="15" customHeight="1"/>
    <row r="31" spans="1:14" ht="14.25" customHeight="1">
      <c r="A31" s="288" t="s">
        <v>370</v>
      </c>
      <c r="B31" s="288"/>
    </row>
    <row r="32" spans="1:14" ht="14.25" customHeight="1">
      <c r="A32" s="110" t="s">
        <v>371</v>
      </c>
      <c r="B32" s="41">
        <f>$B$9</f>
        <v>525</v>
      </c>
    </row>
    <row r="33" spans="1:2" ht="14.25" customHeight="1">
      <c r="A33" s="255" t="s">
        <v>372</v>
      </c>
      <c r="B33" s="41">
        <f>N20-$B$9</f>
        <v>-438.38101017452072</v>
      </c>
    </row>
    <row r="34" spans="1:2" ht="14.25" customHeight="1">
      <c r="A34" s="256" t="s">
        <v>373</v>
      </c>
      <c r="B34" s="257">
        <f>N20</f>
        <v>86.618989825479261</v>
      </c>
    </row>
    <row r="35" spans="1:2" ht="14.25" customHeight="1">
      <c r="A35" s="256" t="s">
        <v>374</v>
      </c>
      <c r="B35" s="41">
        <f>(B34-B32)/B32</f>
        <v>-0.83501144795146809</v>
      </c>
    </row>
    <row r="36" spans="1:2" ht="14.25" customHeight="1">
      <c r="A36" s="256" t="s">
        <v>375</v>
      </c>
      <c r="B36" s="41" t="str">
        <f>IF(B35&gt;0,"Undervalued","Overvalued")</f>
        <v>Overvalued</v>
      </c>
    </row>
    <row r="37" spans="1:2" ht="15" customHeight="1">
      <c r="A37" s="258" t="s">
        <v>376</v>
      </c>
      <c r="B37" s="55" t="str">
        <f>IF(B35&gt;0.1,"BUY",IF(B35&lt;-0.1,"SELL","HOLD"))</f>
        <v>SELL</v>
      </c>
    </row>
  </sheetData>
  <mergeCells count="5">
    <mergeCell ref="A3:B3"/>
    <mergeCell ref="M10:N10"/>
    <mergeCell ref="M11:N11"/>
    <mergeCell ref="A15:B15"/>
    <mergeCell ref="A31:B3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zoomScale="62" zoomScaleNormal="62" workbookViewId="0">
      <selection activeCell="X2" sqref="X2"/>
    </sheetView>
  </sheetViews>
  <sheetFormatPr defaultColWidth="8.6640625" defaultRowHeight="14.4"/>
  <cols>
    <col min="1" max="1" width="21.77734375" customWidth="1"/>
    <col min="2" max="7" width="9.5546875" customWidth="1"/>
    <col min="8" max="8" width="12.44140625" customWidth="1"/>
    <col min="9" max="10" width="9.5546875" customWidth="1"/>
  </cols>
  <sheetData>
    <row r="1" spans="1:10" ht="15" customHeight="1">
      <c r="A1" s="289" t="s">
        <v>377</v>
      </c>
      <c r="B1" s="289"/>
      <c r="C1" s="289"/>
      <c r="D1" s="289"/>
      <c r="E1" s="289"/>
      <c r="F1" s="289"/>
      <c r="G1" s="289"/>
      <c r="H1" s="289"/>
      <c r="I1" s="289"/>
      <c r="J1" s="289"/>
    </row>
    <row r="2" spans="1:10" ht="14.25" customHeight="1">
      <c r="A2" s="289"/>
      <c r="B2" s="289"/>
      <c r="C2" s="289"/>
      <c r="D2" s="289"/>
      <c r="E2" s="289"/>
      <c r="F2" s="289"/>
      <c r="G2" s="289"/>
      <c r="H2" s="289"/>
      <c r="I2" s="289"/>
      <c r="J2" s="289"/>
    </row>
    <row r="3" spans="1:10" ht="15" customHeight="1">
      <c r="A3" s="259"/>
      <c r="B3" s="290" t="s">
        <v>378</v>
      </c>
      <c r="C3" s="290"/>
      <c r="D3" s="290"/>
      <c r="E3" s="290"/>
      <c r="F3" s="291" t="s">
        <v>379</v>
      </c>
      <c r="G3" s="291"/>
      <c r="H3" s="291"/>
      <c r="I3" s="291"/>
      <c r="J3" s="291"/>
    </row>
    <row r="4" spans="1:10" ht="14.25" customHeight="1">
      <c r="A4" s="260" t="s">
        <v>380</v>
      </c>
      <c r="B4" s="43">
        <v>2022</v>
      </c>
      <c r="C4" s="43">
        <v>2023</v>
      </c>
      <c r="D4" s="43">
        <v>2024</v>
      </c>
      <c r="E4" s="43">
        <v>2025</v>
      </c>
      <c r="F4" s="43">
        <v>2026</v>
      </c>
      <c r="G4" s="43">
        <v>2027</v>
      </c>
      <c r="H4" s="43">
        <v>2028</v>
      </c>
      <c r="I4" s="43">
        <v>2029</v>
      </c>
      <c r="J4" s="58">
        <v>2030</v>
      </c>
    </row>
    <row r="5" spans="1:10" ht="14.25" customHeight="1">
      <c r="A5" s="261"/>
      <c r="J5" s="41"/>
    </row>
    <row r="6" spans="1:10" ht="14.25" customHeight="1">
      <c r="A6" s="261" t="s">
        <v>381</v>
      </c>
      <c r="B6">
        <f>IF('financial satement'!G22=0,0,('financial satement'!H22-'financial satement'!G22)/'financial satement'!G22)</f>
        <v>0.24459999736102622</v>
      </c>
      <c r="C6">
        <f>IF('financial satement'!H22=0,0,('financial satement'!I22-'financial satement'!H22)/'financial satement'!H22)</f>
        <v>-1.9310995552587699E-2</v>
      </c>
      <c r="D6">
        <f>IF('financial satement'!I22=0,0,('financial satement'!J22-'financial satement'!I22)/'financial satement'!I22)</f>
        <v>0.13348756256553865</v>
      </c>
      <c r="E6">
        <f>IF('financial satement'!J22=0,0,('financial satement'!K22-'financial satement'!J22)/'financial satement'!J22)</f>
        <v>-8.4023995956166567E-2</v>
      </c>
      <c r="F6">
        <f>IF('financial satement'!K22=0,0,('financial satement'!L22-'financial satement'!K22)/'financial satement'!K22)</f>
        <v>-0.15353383252664832</v>
      </c>
      <c r="G6">
        <f>IF('financial satement'!L22=0,0,('financial satement'!M22-'financial satement'!L22)/'financial satement'!L22)</f>
        <v>1.041472232880457E-2</v>
      </c>
      <c r="H6">
        <f>IF('financial satement'!M22=0,0,('financial satement'!N22-'financial satement'!M22)/'financial satement'!M22)</f>
        <v>6.3441833619351197E-3</v>
      </c>
      <c r="I6">
        <f>IF('financial satement'!N22=0,0,('financial satement'!O22-'financial satement'!N22)/'financial satement'!N22)</f>
        <v>1.627050597775892E-3</v>
      </c>
      <c r="J6" s="41">
        <f>IF('financial satement'!O22=0,0,('financial satement'!P22-'financial satement'!O22)/'financial satement'!O22)</f>
        <v>-3.8907312977441758E-3</v>
      </c>
    </row>
    <row r="7" spans="1:10" ht="14.25" customHeight="1">
      <c r="A7" s="261" t="s">
        <v>382</v>
      </c>
      <c r="B7">
        <f>IF('financial satement'!G19=0,0,('financial satement'!H19-'financial satement'!G19)/'financial satement'!G19)</f>
        <v>0.23369938642911486</v>
      </c>
      <c r="C7">
        <f>IF('financial satement'!H19=0,0,('financial satement'!I19-'financial satement'!H19)/'financial satement'!H19)</f>
        <v>-4.1673180645670988E-3</v>
      </c>
      <c r="D7">
        <f>IF('financial satement'!I19=0,0,('financial satement'!J19-'financial satement'!I19)/'financial satement'!I19)</f>
        <v>0.13124831358697014</v>
      </c>
      <c r="E7">
        <f>IF('financial satement'!J19=0,0,('financial satement'!K19-'financial satement'!J19)/'financial satement'!J19)</f>
        <v>-5.8168681804777571E-2</v>
      </c>
      <c r="F7">
        <f>IF('financial satement'!K19=0,0,('financial satement'!L19-'financial satement'!K19)/'financial satement'!K19)</f>
        <v>-0.11837299501960886</v>
      </c>
      <c r="G7">
        <f>IF('financial satement'!L19=0,0,('financial satement'!M19-'financial satement'!L19)/'financial satement'!L19)</f>
        <v>3.1583565383381237E-2</v>
      </c>
      <c r="H7">
        <f>IF('financial satement'!M19=0,0,('financial satement'!N19-'financial satement'!M19)/'financial satement'!M19)</f>
        <v>3.0643785384983604E-2</v>
      </c>
      <c r="I7">
        <f>IF('financial satement'!N19=0,0,('financial satement'!O19-'financial satement'!N19)/'financial satement'!N19)</f>
        <v>2.9645157340825304E-2</v>
      </c>
      <c r="J7" s="41">
        <f>IF('financial satement'!O19=0,0,('financial satement'!P19-'financial satement'!O19)/'financial satement'!O19)</f>
        <v>2.8581998507623451E-2</v>
      </c>
    </row>
    <row r="8" spans="1:10" ht="14.25" customHeight="1">
      <c r="A8" s="261" t="s">
        <v>383</v>
      </c>
      <c r="B8">
        <f>IF('financial satement'!G29=0,0,('financial satement'!H29-'financial satement'!G29)/'financial satement'!G29)</f>
        <v>0.16533629831228686</v>
      </c>
      <c r="C8">
        <f>IF('financial satement'!H29=0,0,('financial satement'!I29-'financial satement'!H29)/'financial satement'!H29)</f>
        <v>-3.9987468314773816E-2</v>
      </c>
      <c r="D8">
        <f>IF('financial satement'!I29=0,0,('financial satement'!J29-'financial satement'!I29)/'financial satement'!I29)</f>
        <v>0.15583558311330012</v>
      </c>
      <c r="E8">
        <f>IF('financial satement'!J29=0,0,('financial satement'!K29-'financial satement'!J29)/'financial satement'!J29)</f>
        <v>-9.1292936941330713E-2</v>
      </c>
      <c r="F8">
        <f>IF('financial satement'!K29=0,0,('financial satement'!L29-'financial satement'!K29)/'financial satement'!K29)</f>
        <v>-7.8408520562097146E-3</v>
      </c>
      <c r="G8">
        <f>IF('financial satement'!L29=0,0,('financial satement'!M29-'financial satement'!L29)/'financial satement'!L29)</f>
        <v>-0.33737741965074797</v>
      </c>
      <c r="H8">
        <f>IF('financial satement'!M29=0,0,('financial satement'!N29-'financial satement'!M29)/'financial satement'!M29)</f>
        <v>-3.0774673808235771</v>
      </c>
      <c r="I8">
        <f>IF('financial satement'!N29=0,0,('financial satement'!O29-'financial satement'!N29)/'financial satement'!N29)</f>
        <v>9.4263869095658137</v>
      </c>
      <c r="J8" s="41">
        <f>IF('financial satement'!O29=0,0,('financial satement'!P29-'financial satement'!O29)/'financial satement'!O29)</f>
        <v>5.8441384572425097</v>
      </c>
    </row>
    <row r="9" spans="1:10" ht="14.25" customHeight="1">
      <c r="A9" s="261" t="s">
        <v>384</v>
      </c>
      <c r="B9">
        <f>IF('financial satement'!G38=0,0,IF('financial satement'!H38=0,0,(('financial satement'!H29/'financial satement'!H38)-('financial satement'!G29/'financial satement'!G38))/ABS('financial satement'!G29/'financial satement'!G38)))</f>
        <v>0.16500671623798632</v>
      </c>
      <c r="C9">
        <f>IF('financial satement'!H38=0,0,IF('financial satement'!I38=0,0,(('financial satement'!I29/'financial satement'!I38)-('financial satement'!H29/'financial satement'!H38))/ABS('financial satement'!H29/'financial satement'!H38)))</f>
        <v>-4.2100601215537173E-2</v>
      </c>
      <c r="D9">
        <f>IF('financial satement'!I38=0,0,IF('financial satement'!J38=0,0,(('financial satement'!J29/'financial satement'!J38)-('financial satement'!I29/'financial satement'!I38))/ABS('financial satement'!I29/'financial satement'!I38)))</f>
        <v>0.15570512762987881</v>
      </c>
      <c r="E9">
        <f>IF('financial satement'!J38=0,0,IF('financial satement'!K38=0,0,(('financial satement'!K29/'financial satement'!K38)-('financial satement'!J29/'financial satement'!J38))/ABS('financial satement'!J29/'financial satement'!J38)))</f>
        <v>-9.1446755210764577E-2</v>
      </c>
      <c r="F9">
        <f>IF('financial satement'!K38=0,0,IF('financial satement'!L38=0,0,(('financial satement'!L29/'financial satement'!L38)-('financial satement'!K29/'financial satement'!K38))/ABS('financial satement'!K29/'financial satement'!K38)))</f>
        <v>-7.6728792884991088E-3</v>
      </c>
      <c r="G9">
        <f>IF('financial satement'!L38=0,0,IF('financial satement'!M38=0,0,(('financial satement'!M29/'financial satement'!M38)-('financial satement'!L29/'financial satement'!L38))/ABS('financial satement'!L29/'financial satement'!L38)))</f>
        <v>-0.33737741965074797</v>
      </c>
      <c r="H9">
        <f>IF('financial satement'!M38=0,0,IF('financial satement'!N38=0,0,(('financial satement'!N29/'financial satement'!N38)-('financial satement'!M29/'financial satement'!M38))/ABS('financial satement'!M29/'financial satement'!M38)))</f>
        <v>-3.0774673808235771</v>
      </c>
      <c r="I9">
        <f>IF('financial satement'!N38=0,0,IF('financial satement'!O38=0,0,(('financial satement'!O29/'financial satement'!O38)-('financial satement'!N29/'financial satement'!N38))/ABS('financial satement'!N29/'financial satement'!N38)))</f>
        <v>-9.4263869095658137</v>
      </c>
      <c r="J9" s="41">
        <f>IF('financial satement'!O38=0,0,IF('financial satement'!P38=0,0,(('financial satement'!P29/'financial satement'!P38)-('financial satement'!O29/'financial satement'!O38))/ABS('financial satement'!O29/'financial satement'!O38)))</f>
        <v>-5.8441384572425097</v>
      </c>
    </row>
    <row r="10" spans="1:10" ht="14.25" customHeight="1">
      <c r="A10" s="261"/>
      <c r="J10" s="41"/>
    </row>
    <row r="11" spans="1:10" ht="14.25" customHeight="1">
      <c r="A11" s="261" t="s">
        <v>385</v>
      </c>
      <c r="J11" s="41"/>
    </row>
    <row r="12" spans="1:10" ht="14.25" customHeight="1">
      <c r="A12" s="261" t="s">
        <v>386</v>
      </c>
      <c r="B12">
        <f>IF('financial satement'!H7=0,0,'financial satement'!H19/'financial satement'!H7)</f>
        <v>0.25024512500764123</v>
      </c>
      <c r="C12">
        <f>IF('financial satement'!I7=0,0,'financial satement'!I19/'financial satement'!I7)</f>
        <v>0.23471532123878014</v>
      </c>
      <c r="D12">
        <f>IF('financial satement'!J7=0,0,'financial satement'!J19/'financial satement'!J7)</f>
        <v>0.25240597224046596</v>
      </c>
      <c r="E12">
        <f>IF('financial satement'!K7=0,0,'financial satement'!K19/'financial satement'!K7)</f>
        <v>0.23942447724599294</v>
      </c>
      <c r="F12">
        <f>IF('financial satement'!L7=0,0,'financial satement'!L19/'financial satement'!L7)</f>
        <v>0.19924007601366744</v>
      </c>
      <c r="G12">
        <f>IF('financial satement'!M7=0,0,'financial satement'!M19/'financial satement'!M7)</f>
        <v>0.19400118366095756</v>
      </c>
      <c r="H12">
        <f>IF('financial satement'!N7=0,0,'financial satement'!N19/'financial satement'!N7)</f>
        <v>0.18872795539379936</v>
      </c>
      <c r="I12">
        <f>IF('financial satement'!O7=0,0,'financial satement'!O19/'financial satement'!O7)</f>
        <v>0.18342016617320686</v>
      </c>
      <c r="J12" s="41">
        <f>IF('financial satement'!P7=0,0,'financial satement'!P19/'financial satement'!P7)</f>
        <v>0.17807758948527982</v>
      </c>
    </row>
    <row r="13" spans="1:10" ht="14.25" customHeight="1">
      <c r="A13" s="261" t="s">
        <v>387</v>
      </c>
      <c r="B13">
        <f>'financial satement'!H22</f>
        <v>1886.4900000000016</v>
      </c>
      <c r="C13">
        <f>'financial satement'!I22</f>
        <v>1850.0600000000004</v>
      </c>
      <c r="D13">
        <f>'financial satement'!J22</f>
        <v>2097.0200000000009</v>
      </c>
      <c r="E13">
        <f>'financial satement'!K22</f>
        <v>1920.8200000000004</v>
      </c>
      <c r="F13">
        <f>'financial satement'!L22</f>
        <v>1625.9091438061637</v>
      </c>
      <c r="G13">
        <f>'financial satement'!M22</f>
        <v>1642.8425360707693</v>
      </c>
      <c r="H13">
        <f>'financial satement'!N22</f>
        <v>1653.2650303543887</v>
      </c>
      <c r="I13">
        <f>'financial satement'!O22</f>
        <v>1655.9549762103088</v>
      </c>
      <c r="J13" s="41">
        <f>'financial satement'!P22</f>
        <v>1649.5121003567122</v>
      </c>
    </row>
    <row r="14" spans="1:10" ht="14.25" customHeight="1">
      <c r="A14" s="261" t="s">
        <v>388</v>
      </c>
      <c r="B14">
        <f>IF('financial satement'!H7=0,0,'financial satement'!H22/'financial satement'!H7)</f>
        <v>0.23063634696497359</v>
      </c>
      <c r="C14">
        <f>IF('financial satement'!I7=0,0,'financial satement'!I22/'financial satement'!I7)</f>
        <v>0.21303379066942263</v>
      </c>
      <c r="D14">
        <f>IF('financial satement'!J7=0,0,'financial satement'!J22/'financial satement'!J7)</f>
        <v>0.22954376286177161</v>
      </c>
      <c r="E14">
        <f>IF('financial satement'!K7=0,0,'financial satement'!K22/'financial satement'!K7)</f>
        <v>0.21176071112404657</v>
      </c>
      <c r="F14">
        <f>IF('financial satement'!L7=0,0,'financial satement'!L22/'financial satement'!L7)</f>
        <v>0.16919138964947014</v>
      </c>
      <c r="G14">
        <f>IF('financial satement'!M7=0,0,'financial satement'!M22/'financial satement'!M7)</f>
        <v>0.16136197075575645</v>
      </c>
      <c r="H14">
        <f>IF('financial satement'!N7=0,0,'financial satement'!N22/'financial satement'!N7)</f>
        <v>0.15327488412941415</v>
      </c>
      <c r="I14">
        <f>IF('financial satement'!O7=0,0,'financial satement'!O22/'financial satement'!O7)</f>
        <v>0.14491065107772233</v>
      </c>
      <c r="J14" s="41">
        <f>IF('financial satement'!P7=0,0,'financial satement'!P22/'financial satement'!P7)</f>
        <v>0.13624813155679</v>
      </c>
    </row>
    <row r="15" spans="1:10" ht="14.25" customHeight="1">
      <c r="A15" s="261" t="s">
        <v>389</v>
      </c>
      <c r="B15">
        <f>'financial satement'!H29</f>
        <v>1404.4400000000014</v>
      </c>
      <c r="C15">
        <f>'financial satement'!I29</f>
        <v>1348.2800000000004</v>
      </c>
      <c r="D15">
        <f>'financial satement'!J29</f>
        <v>1558.3900000000008</v>
      </c>
      <c r="E15">
        <f>'financial satement'!K29</f>
        <v>1416.1200000000003</v>
      </c>
      <c r="F15">
        <f>'financial satement'!L29</f>
        <v>1405.0164125861606</v>
      </c>
      <c r="G15">
        <f>'financial satement'!M29</f>
        <v>930.99560074089106</v>
      </c>
      <c r="H15">
        <f>'financial satement'!N29</f>
        <v>-1934.1129922294517</v>
      </c>
      <c r="I15">
        <f>'financial satement'!O29</f>
        <v>-20165.810383802323</v>
      </c>
      <c r="J15" s="41">
        <f>'financial satement'!P29</f>
        <v>-138017.59836924181</v>
      </c>
    </row>
    <row r="16" spans="1:10" ht="14.25" customHeight="1">
      <c r="A16" s="261" t="s">
        <v>390</v>
      </c>
      <c r="B16">
        <f>IF('financial satement'!H7=0,0,'financial satement'!H29/'financial satement'!H7)</f>
        <v>0.17170242679870426</v>
      </c>
      <c r="C16">
        <f>IF('financial satement'!I7=0,0,'financial satement'!I29/'financial satement'!I7)</f>
        <v>0.15525399137529008</v>
      </c>
      <c r="D16">
        <f>IF('financial satement'!J7=0,0,'financial satement'!J29/'financial satement'!J7)</f>
        <v>0.17058430754411322</v>
      </c>
      <c r="E16">
        <f>IF('financial satement'!K7=0,0,'financial satement'!K29/'financial satement'!K7)</f>
        <v>0.15612008321289078</v>
      </c>
      <c r="F16">
        <f>IF('financial satement'!L7=0,0,'financial satement'!L29/'financial satement'!L7)</f>
        <v>0.14620538929333049</v>
      </c>
      <c r="G16">
        <f>IF('financial satement'!M7=0,0,'financial satement'!M29/'financial satement'!M7)</f>
        <v>9.144350818903936E-2</v>
      </c>
      <c r="H16">
        <f>IF('financial satement'!N7=0,0,'financial satement'!N29/'financial satement'!N7)</f>
        <v>-0.17931241472736975</v>
      </c>
      <c r="I16">
        <f>IF('financial satement'!O7=0,0,'financial satement'!O29/'financial satement'!O7)</f>
        <v>-1.7646860900254084</v>
      </c>
      <c r="J16" s="41">
        <f>IF('financial satement'!P7=0,0,'financial satement'!P29/'financial satement'!P7)</f>
        <v>-11.400122433596033</v>
      </c>
    </row>
    <row r="17" spans="1:10" ht="14.25" customHeight="1">
      <c r="A17" s="261" t="s">
        <v>391</v>
      </c>
      <c r="B17">
        <f>IF('financial satement'!H41=0,0,'financial satement'!H29/'financial satement'!H41)</f>
        <v>0.23950735606348733</v>
      </c>
      <c r="C17">
        <f>IF('financial satement'!I41=0,0,'financial satement'!I29/'financial satement'!I41)</f>
        <v>0.21445931845366867</v>
      </c>
      <c r="D17">
        <f>IF('financial satement'!J41=0,0,'financial satement'!J29/'financial satement'!J41)</f>
        <v>0.22535164423595569</v>
      </c>
      <c r="E17">
        <f>IF('financial satement'!K41=0,0,'financial satement'!K29/'financial satement'!K41)</f>
        <v>0.19076716657977802</v>
      </c>
      <c r="F17">
        <f>IF('financial satement'!L41=0,0,'financial satement'!L29/'financial satement'!L41)</f>
        <v>8.1825191755797083E-5</v>
      </c>
      <c r="G17">
        <f>IF('financial satement'!M41=0,0,'financial satement'!M29/'financial satement'!M41)</f>
        <v>2.2880725188729505E-8</v>
      </c>
      <c r="H17" s="262">
        <f>IF('financial satement'!N41=0,0,'financial satement'!N29/'financial satement'!N41)</f>
        <v>-2.0059312412931315E-11</v>
      </c>
      <c r="I17">
        <f>IF('financial satement'!O41=0,0,'financial satement'!O29/'financial satement'!O41)</f>
        <v>-8.8259593175305048E-14</v>
      </c>
      <c r="J17" s="41">
        <f>IF('financial satement'!P41=0,0,'financial satement'!P29/'financial satement'!P41)</f>
        <v>-2.5491344955001299E-16</v>
      </c>
    </row>
    <row r="18" spans="1:10" ht="14.25" customHeight="1">
      <c r="A18" s="261" t="s">
        <v>392</v>
      </c>
      <c r="B18">
        <f>IF(('financial satement'!H78-'financial satement'!H54)=0,0,'financial satement'!H22/('financial satement'!H78-'financial satement'!H54))</f>
        <v>0.42414193148042434</v>
      </c>
      <c r="C18">
        <f>IF(('financial satement'!I78-'financial satement'!I54)=0,0,'financial satement'!I22/('financial satement'!I78-'financial satement'!I54))</f>
        <v>0.39749991405686008</v>
      </c>
      <c r="D18">
        <f>IF(('financial satement'!J78-'financial satement'!J54)=0,0,'financial satement'!J22/('financial satement'!J78-'financial satement'!J54))</f>
        <v>0.41266842595161785</v>
      </c>
      <c r="E18">
        <f>IF(('financial satement'!K78-'financial satement'!K54)=0,0,'financial satement'!K22/('financial satement'!K78-'financial satement'!K54))</f>
        <v>0.39516703080575549</v>
      </c>
      <c r="F18">
        <f>IF(('financial satement'!L78-'financial satement'!L54)=0,0,'financial satement'!L22/('financial satement'!L78-'financial satement'!L54))</f>
        <v>0.35302078802452785</v>
      </c>
      <c r="G18">
        <f>IF(('financial satement'!M78-'financial satement'!M54)=0,0,'financial satement'!M22/('financial satement'!M78-'financial satement'!M54))</f>
        <v>0.38148890075366593</v>
      </c>
      <c r="H18">
        <f>IF(('financial satement'!N78-'financial satement'!N54)=0,0,'financial satement'!N22/('financial satement'!N78-'financial satement'!N54))</f>
        <v>0.41775559177183585</v>
      </c>
      <c r="I18">
        <f>IF(('financial satement'!O78-'financial satement'!O54)=0,0,'financial satement'!O22/('financial satement'!O78-'financial satement'!O54))</f>
        <v>0.46607525335358163</v>
      </c>
      <c r="J18" s="41">
        <f>IF(('financial satement'!P78-'financial satement'!P54)=0,0,'financial satement'!P22/('financial satement'!P78-'financial satement'!P54))</f>
        <v>0.53449676011430691</v>
      </c>
    </row>
    <row r="19" spans="1:10" ht="14.25" customHeight="1">
      <c r="A19" s="261"/>
      <c r="J19" s="41"/>
    </row>
    <row r="20" spans="1:10" ht="14.25" customHeight="1">
      <c r="A20" s="261" t="s">
        <v>393</v>
      </c>
      <c r="J20" s="41"/>
    </row>
    <row r="21" spans="1:10" ht="14.25" customHeight="1">
      <c r="A21" s="261" t="s">
        <v>394</v>
      </c>
      <c r="B21">
        <f>IF(('financial satement'!H29/'financial satement'!H38)=0,0,DCF!$B$9/('financial satement'!H29/'financial satement'!H38))</f>
        <v>66.086660875509025</v>
      </c>
      <c r="C21">
        <f>IF(('financial satement'!I29/'financial satement'!I38)=0,0,DCF!$B$9/('financial satement'!I29/'financial satement'!I38))</f>
        <v>68.991233274987366</v>
      </c>
      <c r="D21">
        <f>IF(('financial satement'!J29/'financial satement'!J38)=0,0,DCF!$B$9/('financial satement'!J29/'financial satement'!J38))</f>
        <v>59.696224950108736</v>
      </c>
      <c r="E21">
        <f>IF(('financial satement'!K29/'financial satement'!K38)=0,0,DCF!$B$9/('financial satement'!K29/'financial satement'!K38))</f>
        <v>65.704707228200988</v>
      </c>
      <c r="F21">
        <f>IF(('financial satement'!L29/'financial satement'!L38)=0,0,DCF!$B$9/('financial satement'!L29/'financial satement'!L38))</f>
        <v>66.212749663730392</v>
      </c>
      <c r="G21">
        <f>IF(('financial satement'!M29/'financial satement'!M38)=0,0,DCF!$B$9/('financial satement'!M29/'financial satement'!M38))</f>
        <v>99.925284207536791</v>
      </c>
      <c r="H21">
        <f>IF(('financial satement'!N29/'financial satement'!N38)=0,0,DCF!$B$9/('financial satement'!N29/'financial satement'!N38))</f>
        <v>-48.099568315687868</v>
      </c>
      <c r="I21">
        <f>IF(('financial satement'!O29/'financial satement'!O38)=0,0,DCF!$B$9/('financial satement'!O29/'financial satement'!O38))</f>
        <v>-4.6132537314108628</v>
      </c>
      <c r="J21" s="41">
        <f>IF(('financial satement'!P29/'financial satement'!P38)=0,0,DCF!$B$9/('financial satement'!P29/'financial satement'!P38))</f>
        <v>-0.67404447765504938</v>
      </c>
    </row>
    <row r="22" spans="1:10" ht="14.25" customHeight="1">
      <c r="A22" s="261" t="s">
        <v>395</v>
      </c>
      <c r="B22">
        <f>IF(('financial satement'!H41/'financial satement'!H38)=0,0,DCF!$B$9/('financial satement'!H41/'financial satement'!H38))</f>
        <v>15.828241417357479</v>
      </c>
      <c r="C22">
        <f>IF(('financial satement'!I41/'financial satement'!I38)=0,0,DCF!$B$9/('financial satement'!I41/'financial satement'!I38))</f>
        <v>14.795812867431858</v>
      </c>
      <c r="D22">
        <f>IF(('financial satement'!J41/'financial satement'!J38)=0,0,DCF!$B$9/('financial satement'!J41/'financial satement'!J38))</f>
        <v>13.452642447186482</v>
      </c>
      <c r="E22">
        <f>IF(('financial satement'!K41/'financial satement'!K38)=0,0,DCF!$B$9/('financial satement'!K41/'financial satement'!K38))</f>
        <v>12.534300828877761</v>
      </c>
      <c r="F22">
        <f>IF(('financial satement'!L41/'financial satement'!L38)=0,0,DCF!$B$9/('financial satement'!L41/'financial satement'!L38))</f>
        <v>5.4178709379133286E-3</v>
      </c>
      <c r="G22">
        <f>IF(('financial satement'!M41/'financial satement'!M38)=0,0,DCF!$B$9/('financial satement'!M41/'financial satement'!M38))</f>
        <v>2.2863629673583418E-6</v>
      </c>
      <c r="H22">
        <f>IF(('financial satement'!N41/'financial satement'!N38)=0,0,DCF!$B$9/('financial satement'!N41/'financial satement'!N38))</f>
        <v>9.6484426777151561E-10</v>
      </c>
      <c r="I22">
        <f>IF(('financial satement'!O41/'financial satement'!O38)=0,0,DCF!$B$9/('financial satement'!O41/'financial satement'!O38))</f>
        <v>4.071638975487808E-13</v>
      </c>
      <c r="J22" s="41">
        <f>IF(('financial satement'!P41/'financial satement'!P38)=0,0,DCF!$B$9/('financial satement'!P41/'financial satement'!P38))</f>
        <v>1.7182300294918531E-16</v>
      </c>
    </row>
    <row r="23" spans="1:10" ht="14.25" customHeight="1">
      <c r="A23" s="261" t="s">
        <v>396</v>
      </c>
      <c r="B23">
        <f>IF('financial satement'!H19=0,0,(DCF!$B$9*'financial satement'!H38+Assumption!H49-Assumption!H64)/'financial satement'!H19)</f>
        <v>45.55164445399825</v>
      </c>
      <c r="C23">
        <f>IF('financial satement'!I19=0,0,(DCF!$B$9*'financial satement'!I38+Assumption!I49-Assumption!I64)/'financial satement'!I19)</f>
        <v>45.920259033041425</v>
      </c>
      <c r="D23">
        <f>IF('financial satement'!J19=0,0,(DCF!$B$9*'financial satement'!J38+Assumption!J49-Assumption!J64)/'financial satement'!J19)</f>
        <v>40.650359081999049</v>
      </c>
      <c r="E23">
        <f>IF('financial satement'!K19=0,0,(DCF!$B$9*'financial satement'!K38+Assumption!K49-Assumption!K64)/'financial satement'!K19)</f>
        <v>42.956809024979847</v>
      </c>
      <c r="F23">
        <f>IF('financial satement'!L19=0,0,(DCF!$B$9*'financial satement'!L38+Assumption!L49-Assumption!L64)/'financial satement'!L19)</f>
        <v>48.797551233264016</v>
      </c>
      <c r="G23">
        <f>IF('financial satement'!M19=0,0,(DCF!$B$9*'financial satement'!M38+Assumption!M49-Assumption!M64)/'financial satement'!M19)</f>
        <v>47.419413494806427</v>
      </c>
      <c r="H23">
        <f>IF('financial satement'!N19=0,0,(DCF!$B$9*'financial satement'!N38+Assumption!N49-Assumption!N64)/'financial satement'!N19)</f>
        <v>46.174011605976233</v>
      </c>
      <c r="I23">
        <f>IF('financial satement'!O19=0,0,(DCF!$B$9*'financial satement'!O38+Assumption!O49-Assumption!O64)/'financial satement'!O19)</f>
        <v>45.077526526193147</v>
      </c>
      <c r="J23" s="41">
        <f>IF('financial satement'!P19=0,0,(DCF!$B$9*'financial satement'!P38+Assumption!P49-Assumption!P64)/'financial satement'!P19)</f>
        <v>44.1542490206471</v>
      </c>
    </row>
    <row r="24" spans="1:10" ht="14.25" customHeight="1">
      <c r="A24" s="261" t="s">
        <v>397</v>
      </c>
      <c r="B24">
        <f>IF('financial satement'!H7=0,0,(DCF!$B$9*'financial satement'!H38+Assumption!H49-Assumption!H64)/'financial satement'!H7)</f>
        <v>11.399076960694419</v>
      </c>
      <c r="C24">
        <f>IF('financial satement'!I7=0,0,(DCF!$B$9*'financial satement'!I38+Assumption!I49-Assumption!I64)/'financial satement'!I7)</f>
        <v>10.778188350308314</v>
      </c>
      <c r="D24">
        <f>IF('financial satement'!J7=0,0,(DCF!$B$9*'financial satement'!J38+Assumption!J49-Assumption!J64)/'financial satement'!J7)</f>
        <v>10.260393406016025</v>
      </c>
      <c r="E24">
        <f>IF('financial satement'!K7=0,0,(DCF!$B$9*'financial satement'!K38+Assumption!K49-Assumption!K64)/'financial satement'!K7)</f>
        <v>10.284911544961751</v>
      </c>
      <c r="F24">
        <f>IF('financial satement'!L7=0,0,(DCF!$B$9*'financial satement'!L38+Assumption!L49-Assumption!L64)/'financial satement'!L7)</f>
        <v>9.7224278169963547</v>
      </c>
      <c r="G24">
        <f>IF('financial satement'!M7=0,0,(DCF!$B$9*'financial satement'!M38+Assumption!M49-Assumption!M64)/'financial satement'!M7)</f>
        <v>9.19942234650083</v>
      </c>
      <c r="H24">
        <f>IF('financial satement'!N7=0,0,(DCF!$B$9*'financial satement'!N38+Assumption!N49-Assumption!N64)/'financial satement'!N7)</f>
        <v>8.7143268027254557</v>
      </c>
      <c r="I24">
        <f>IF('financial satement'!O7=0,0,(DCF!$B$9*'financial satement'!O38+Assumption!O49-Assumption!O64)/'financial satement'!O7)</f>
        <v>8.2681274061114873</v>
      </c>
      <c r="J24" s="41">
        <f>IF('financial satement'!P7=0,0,(DCF!$B$9*'financial satement'!P38+Assumption!P49-Assumption!P64)/'financial satement'!P7)</f>
        <v>7.8628822311296132</v>
      </c>
    </row>
    <row r="25" spans="1:10" ht="14.25" customHeight="1">
      <c r="A25" s="261" t="s">
        <v>398</v>
      </c>
      <c r="B25" s="191">
        <f>IF('financial satement'!H29=0,0,'financial satement'!H31/'financial satement'!H29)</f>
        <v>0</v>
      </c>
      <c r="C25" s="191">
        <f>IF('financial satement'!I29=0,0,'financial satement'!I31/'financial satement'!I29)</f>
        <v>0</v>
      </c>
      <c r="D25" s="191">
        <f>IF('financial satement'!J29=0,0,'financial satement'!J31/'financial satement'!J29)</f>
        <v>0</v>
      </c>
      <c r="E25" s="191">
        <f>IF('financial satement'!K29=0,0,'financial satement'!K31/'financial satement'!K29)</f>
        <v>0</v>
      </c>
      <c r="F25" s="191">
        <f>IF('financial satement'!L29=0,0,'financial satement'!L31/'financial satement'!L29)</f>
        <v>0</v>
      </c>
      <c r="G25" s="191">
        <f>IF('financial satement'!M29=0,0,'financial satement'!M31/'financial satement'!M29)</f>
        <v>0</v>
      </c>
      <c r="H25" s="191">
        <f>IF('financial satement'!N29=0,0,'financial satement'!N31/'financial satement'!N29)</f>
        <v>0</v>
      </c>
      <c r="I25" s="191">
        <f>IF('financial satement'!O29=0,0,'financial satement'!O31/'financial satement'!O29)</f>
        <v>0</v>
      </c>
      <c r="J25" s="263">
        <f>IF('financial satement'!P29=0,0,'financial satement'!P31/'financial satement'!P29)</f>
        <v>0</v>
      </c>
    </row>
    <row r="26" spans="1:10" ht="14.25" customHeight="1">
      <c r="A26" s="261" t="s">
        <v>399</v>
      </c>
      <c r="B26" s="191">
        <f>IF(DCF!$B$9=0,0,IF('financial satement'!H38=0,0,('financial satement'!H31/'financial satement'!H38)/DCF!$B$9))</f>
        <v>0</v>
      </c>
      <c r="C26" s="191">
        <f>IF(DCF!$B$9=0,0,IF('financial satement'!I38=0,0,('financial satement'!I31/'financial satement'!I38)/DCF!$B$9))</f>
        <v>0</v>
      </c>
      <c r="D26" s="191">
        <f>IF(DCF!$B$9=0,0,IF('financial satement'!J38=0,0,('financial satement'!J31/'financial satement'!J38)/DCF!$B$9))</f>
        <v>0</v>
      </c>
      <c r="E26" s="191">
        <f>IF(DCF!$B$9=0,0,IF('financial satement'!K38=0,0,('financial satement'!K31/'financial satement'!K38)/DCF!$B$9))</f>
        <v>0</v>
      </c>
      <c r="F26" s="191">
        <f>IF(DCF!$B$9=0,0,IF('financial satement'!L38=0,0,('financial satement'!L31/'financial satement'!L38)/DCF!$B$9))</f>
        <v>0</v>
      </c>
      <c r="G26" s="191">
        <f>IF(DCF!$B$9=0,0,IF('financial satement'!M38=0,0,('financial satement'!M31/'financial satement'!M38)/DCF!$B$9))</f>
        <v>0</v>
      </c>
      <c r="H26" s="191">
        <f>IF(DCF!$B$9=0,0,IF('financial satement'!N38=0,0,('financial satement'!N31/'financial satement'!N38)/DCF!$B$9))</f>
        <v>0</v>
      </c>
      <c r="I26" s="191">
        <f>IF(DCF!$B$9=0,0,IF('financial satement'!O38=0,0,('financial satement'!O31/'financial satement'!O38)/DCF!$B$9))</f>
        <v>0</v>
      </c>
      <c r="J26" s="263">
        <f>IF(DCF!$B$9=0,0,IF('financial satement'!P38=0,0,('financial satement'!P31/'financial satement'!P38)/DCF!$B$9))</f>
        <v>0</v>
      </c>
    </row>
    <row r="27" spans="1:10" ht="14.25" customHeight="1">
      <c r="A27" s="261"/>
      <c r="J27" s="41"/>
    </row>
    <row r="28" spans="1:10" ht="14.25" customHeight="1">
      <c r="A28" s="261" t="s">
        <v>400</v>
      </c>
      <c r="J28" s="41"/>
    </row>
    <row r="29" spans="1:10" ht="14.25" customHeight="1">
      <c r="A29" s="261" t="s">
        <v>401</v>
      </c>
      <c r="B29">
        <f>IF(Assumption!H15=0,0,Assumption!H61*365/Assumption!H15)</f>
        <v>71.418699668871554</v>
      </c>
      <c r="C29">
        <f>IF(Assumption!I15=0,0,Assumption!I61*365/Assumption!I15)</f>
        <v>65.328252949581781</v>
      </c>
      <c r="D29">
        <f>IF(Assumption!J15=0,0,Assumption!J61*365/Assumption!J15)</f>
        <v>59.115214513084887</v>
      </c>
      <c r="E29">
        <f>IF(Assumption!K15=0,0,Assumption!K61*365/Assumption!K15)</f>
        <v>65.267625479811485</v>
      </c>
      <c r="F29">
        <f>IF(Assumption!L15=0,0,Assumption!L61*365/Assumption!L15)</f>
        <v>66.848645237349132</v>
      </c>
      <c r="G29">
        <f>IF(Assumption!M15=0,0,Assumption!M61*365/Assumption!M15)</f>
        <v>68.467963055454305</v>
      </c>
      <c r="H29">
        <f>IF(Assumption!N15=0,0,Assumption!N61*365/Assumption!N15)</f>
        <v>70.12650665273155</v>
      </c>
      <c r="I29">
        <f>IF(Assumption!O15=0,0,Assumption!O61*365/Assumption!O15)</f>
        <v>71.825226220511126</v>
      </c>
      <c r="J29" s="41">
        <f>IF(Assumption!P15=0,0,Assumption!P61*365/Assumption!P15)</f>
        <v>73.565094967220233</v>
      </c>
    </row>
    <row r="30" spans="1:10" ht="14.25" customHeight="1">
      <c r="A30" s="261" t="s">
        <v>402</v>
      </c>
      <c r="B30">
        <f>IF(Assumption!H10=0,0,Assumption!H69*365/Assumption!H10)</f>
        <v>195.41548242876428</v>
      </c>
      <c r="C30">
        <f>IF(Assumption!I10=0,0,Assumption!I69*365/Assumption!I10)</f>
        <v>202.6196237762459</v>
      </c>
      <c r="D30">
        <f>IF(Assumption!J10=0,0,Assumption!J69*365/Assumption!J10)</f>
        <v>230.3834991981081</v>
      </c>
      <c r="E30">
        <f>IF(Assumption!K10=0,0,Assumption!K69*365/Assumption!K10)</f>
        <v>249.47281224975876</v>
      </c>
      <c r="F30">
        <f>IF(Assumption!L10=0,0,Assumption!L69*365/Assumption!L10)</f>
        <v>262.32163551987787</v>
      </c>
      <c r="G30">
        <f>IF(Assumption!M10=0,0,Assumption!M69*365/Assumption!M10)</f>
        <v>275.83222332432808</v>
      </c>
      <c r="H30">
        <f>IF(Assumption!N10=0,0,Assumption!N69*365/Assumption!N10)</f>
        <v>290.03865911882309</v>
      </c>
      <c r="I30">
        <f>IF(Assumption!O10=0,0,Assumption!O69*365/Assumption!O10)</f>
        <v>304.97678179003879</v>
      </c>
      <c r="J30" s="41">
        <f>IF(Assumption!P10=0,0,Assumption!P69*365/Assumption!P10)</f>
        <v>320.68427606715773</v>
      </c>
    </row>
    <row r="31" spans="1:10" ht="14.25" customHeight="1">
      <c r="A31" s="261" t="s">
        <v>403</v>
      </c>
      <c r="B31">
        <f>IF(Assumption!H7=0,0,Assumption!H63*365/Assumption!H7)</f>
        <v>20.213322628317044</v>
      </c>
      <c r="C31">
        <f>IF(Assumption!I7=0,0,Assumption!I63*365/Assumption!I7)</f>
        <v>23.518537017198796</v>
      </c>
      <c r="D31">
        <f>IF(Assumption!J7=0,0,Assumption!J63*365/Assumption!J7)</f>
        <v>28.890547652430772</v>
      </c>
      <c r="E31">
        <f>IF(Assumption!K7=0,0,Assumption!K63*365/Assumption!K7)</f>
        <v>24.201401884119896</v>
      </c>
      <c r="F31">
        <f>IF(Assumption!L7=0,0,Assumption!L63*365/Assumption!L7)</f>
        <v>24.879319737940868</v>
      </c>
      <c r="G31">
        <f>IF(Assumption!M7=0,0,Assumption!M63*365/Assumption!M7)</f>
        <v>25.612652382782379</v>
      </c>
      <c r="H31">
        <f>IF(Assumption!N7=0,0,Assumption!N63*365/Assumption!N7)</f>
        <v>26.367600440491074</v>
      </c>
      <c r="I31">
        <f>IF(Assumption!O7=0,0,Assumption!O63*365/Assumption!O7)</f>
        <v>27.144801038128882</v>
      </c>
      <c r="J31" s="41">
        <f>IF(Assumption!P7=0,0,Assumption!P63*365/Assumption!P7)</f>
        <v>27.944910082454189</v>
      </c>
    </row>
    <row r="32" spans="1:10" ht="14.25" customHeight="1">
      <c r="A32" s="261" t="s">
        <v>404</v>
      </c>
      <c r="B32">
        <f>IF('financial satement'!H78=0,0,'financial satement'!H7/'financial satement'!H78)</f>
        <v>1.2613205815999395</v>
      </c>
      <c r="C32">
        <f>IF('financial satement'!I78=0,0,'financial satement'!I7/'financial satement'!I78)</f>
        <v>1.2468628678413085</v>
      </c>
      <c r="D32">
        <f>IF('financial satement'!J78=0,0,'financial satement'!J7/'financial satement'!J78)</f>
        <v>1.1777294197726944</v>
      </c>
      <c r="E32">
        <f>IF('financial satement'!K78=0,0,'financial satement'!K7/'financial satement'!K78)</f>
        <v>1.1530807856098646</v>
      </c>
      <c r="F32">
        <f>IF('financial satement'!L78=0,0,'financial satement'!L7/'financial satement'!L78)</f>
        <v>1.2048436487576515</v>
      </c>
      <c r="G32">
        <f>IF('financial satement'!M78=0,0,'financial satement'!M7/'financial satement'!M78)</f>
        <v>1.2591676896764916</v>
      </c>
      <c r="H32">
        <f>IF('financial satement'!N78=0,0,'financial satement'!N7/'financial satement'!N78)</f>
        <v>1.3161826631609312</v>
      </c>
      <c r="I32">
        <f>IF('financial satement'!O78=0,0,'financial satement'!O7/'financial satement'!O78)</f>
        <v>1.3760251132253931</v>
      </c>
      <c r="J32" s="41">
        <f>IF('financial satement'!P78=0,0,'financial satement'!P7/'financial satement'!P78)</f>
        <v>1.438838731113889</v>
      </c>
    </row>
    <row r="33" spans="1:10" ht="14.25" customHeight="1">
      <c r="A33" s="261" t="s">
        <v>405</v>
      </c>
      <c r="B33">
        <f>IF(Assumption!H71=0,0,Assumption!H66/Assumption!H71)</f>
        <v>0.95957959638503953</v>
      </c>
      <c r="C33">
        <f>IF(Assumption!I71=0,0,Assumption!I66/Assumption!I71)</f>
        <v>0.84767951114804052</v>
      </c>
      <c r="D33">
        <f>IF(Assumption!J71=0,0,Assumption!J66/Assumption!J71)</f>
        <v>0.8119311491954323</v>
      </c>
      <c r="E33">
        <f>IF(Assumption!K71=0,0,Assumption!K66/Assumption!K71)</f>
        <v>0.76578656694569025</v>
      </c>
      <c r="F33">
        <f>IF(Assumption!L71=0,0,Assumption!L66/Assumption!L71)</f>
        <v>0.7448619889404704</v>
      </c>
      <c r="G33">
        <f>IF(Assumption!M71=0,0,Assumption!M66/Assumption!M71)</f>
        <v>0.72450916027585699</v>
      </c>
      <c r="H33">
        <f>IF(Assumption!N71=0,0,Assumption!N66/Assumption!N71)</f>
        <v>0.704712458304244</v>
      </c>
      <c r="I33">
        <f>IF(Assumption!O71=0,0,Assumption!O66/Assumption!O71)</f>
        <v>0.68545668725585585</v>
      </c>
      <c r="J33" s="41">
        <f>IF(Assumption!P71=0,0,Assumption!P66/Assumption!P71)</f>
        <v>0.666727066574612</v>
      </c>
    </row>
    <row r="34" spans="1:10" ht="14.25" customHeight="1">
      <c r="A34" s="261" t="s">
        <v>406</v>
      </c>
      <c r="B34">
        <f>IF(Assumption!H47=0,0,Assumption!H49/Assumption!H47)</f>
        <v>9.5530767223693566E-2</v>
      </c>
      <c r="C34">
        <f>IF(Assumption!I47=0,0,Assumption!I49/Assumption!I47)</f>
        <v>9.7895935662840716E-2</v>
      </c>
      <c r="D34">
        <f>IF(Assumption!J47=0,0,Assumption!J49/Assumption!J47)</f>
        <v>0.11220802357646807</v>
      </c>
      <c r="E34">
        <f>IF(Assumption!K47=0,0,Assumption!K49/Assumption!K47)</f>
        <v>5.1017810162340423E-2</v>
      </c>
      <c r="F34">
        <f>IF(Assumption!L47=0,0,Assumption!L49/Assumption!L47)</f>
        <v>3.1824468278348531E-5</v>
      </c>
      <c r="G34">
        <f>IF(Assumption!M47=0,0,Assumption!M49/Assumption!M47)</f>
        <v>1.9378268070613983E-8</v>
      </c>
      <c r="H34">
        <f>IF(Assumption!N47=0,0,Assumption!N49/Assumption!N47)</f>
        <v>1.1799518476043834E-11</v>
      </c>
      <c r="I34">
        <f>IF(Assumption!O47=0,0,Assumption!O49/Assumption!O47)</f>
        <v>7.1847822082617414E-15</v>
      </c>
      <c r="J34" s="41">
        <f>IF(Assumption!P47=0,0,Assumption!P49/Assumption!P47)</f>
        <v>4.3748476249148871E-18</v>
      </c>
    </row>
    <row r="35" spans="1:10" ht="15" customHeight="1">
      <c r="A35" s="264" t="s">
        <v>407</v>
      </c>
      <c r="B35" s="54">
        <f>IF(Assumption!H19=0,0,Assumption!H17/Assumption!H19)</f>
        <v>100.75736475629348</v>
      </c>
      <c r="C35" s="54">
        <f>IF(Assumption!I19=0,0,Assumption!I17/Assumption!I19)</f>
        <v>40.369204226870806</v>
      </c>
      <c r="D35" s="54">
        <f>IF(Assumption!J19=0,0,Assumption!J17/Assumption!J19)</f>
        <v>24.483855065319212</v>
      </c>
      <c r="E35" s="54">
        <f>IF(Assumption!K19=0,0,Assumption!K17/Assumption!K19)</f>
        <v>18.622815826471179</v>
      </c>
      <c r="F35" s="54">
        <f>IF(Assumption!L19=0,0,Assumption!L17/Assumption!L19)</f>
        <v>13.451999866682568</v>
      </c>
      <c r="G35" s="54">
        <f>IF(Assumption!M19=0,0,Assumption!M17/Assumption!M19)</f>
        <v>9.7169140316583942</v>
      </c>
      <c r="H35" s="54">
        <f>IF(Assumption!N19=0,0,Assumption!N17/Assumption!N19)</f>
        <v>7.0189131158476989</v>
      </c>
      <c r="I35" s="54">
        <f>IF(Assumption!O19=0,0,Assumption!O17/Assumption!O19)</f>
        <v>5.0700398467362717</v>
      </c>
      <c r="J35" s="55">
        <f>IF(Assumption!P19=0,0,Assumption!P17/Assumption!P19)</f>
        <v>3.6622912441321822</v>
      </c>
    </row>
  </sheetData>
  <mergeCells count="3">
    <mergeCell ref="A1:J2"/>
    <mergeCell ref="B3:E3"/>
    <mergeCell ref="F3:J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5"/>
  <sheetViews>
    <sheetView zoomScale="85" zoomScaleNormal="100" workbookViewId="0">
      <selection activeCell="A12" sqref="A12"/>
    </sheetView>
  </sheetViews>
  <sheetFormatPr defaultColWidth="8.6640625" defaultRowHeight="14.4"/>
  <cols>
    <col min="1" max="1" width="28" customWidth="1"/>
    <col min="2" max="3" width="14" customWidth="1"/>
    <col min="4" max="4" width="16.6640625" customWidth="1"/>
    <col min="5" max="5" width="23.33203125" customWidth="1"/>
    <col min="6" max="6" width="29" customWidth="1"/>
  </cols>
  <sheetData>
    <row r="1" spans="1:6" ht="18" customHeight="1">
      <c r="B1" s="292" t="s">
        <v>408</v>
      </c>
      <c r="C1" s="292"/>
      <c r="D1" s="292"/>
      <c r="E1" s="292"/>
    </row>
    <row r="2" spans="1:6" ht="15" customHeight="1"/>
    <row r="3" spans="1:6" ht="15" customHeight="1">
      <c r="A3" s="265" t="s">
        <v>380</v>
      </c>
      <c r="B3" s="266">
        <v>2026</v>
      </c>
      <c r="C3" s="266">
        <v>2027</v>
      </c>
      <c r="D3" s="266">
        <v>2028</v>
      </c>
      <c r="E3" s="266">
        <v>2029</v>
      </c>
      <c r="F3" s="267">
        <v>2030</v>
      </c>
    </row>
    <row r="4" spans="1:6" ht="14.25" customHeight="1">
      <c r="A4" s="268" t="s">
        <v>387</v>
      </c>
      <c r="B4" s="269">
        <f>'financial satement'!L22</f>
        <v>1625.9091438061637</v>
      </c>
      <c r="C4" s="269">
        <f>'financial satement'!M22</f>
        <v>1642.8425360707693</v>
      </c>
      <c r="D4" s="269">
        <f>'financial satement'!N22</f>
        <v>1653.2650303543887</v>
      </c>
      <c r="E4" s="269">
        <f>'financial satement'!O22</f>
        <v>1655.9549762103088</v>
      </c>
      <c r="F4" s="270">
        <f>'financial satement'!P22</f>
        <v>1649.5121003567122</v>
      </c>
    </row>
    <row r="5" spans="1:6" ht="14.25" customHeight="1">
      <c r="A5" s="268" t="s">
        <v>409</v>
      </c>
      <c r="B5" s="271">
        <f>IF('financial satement'!K22=0,0,('financial satement'!L22-'financial satement'!K22)/'financial satement'!K22)</f>
        <v>-0.15353383252664832</v>
      </c>
      <c r="C5" s="271">
        <f>IF('financial satement'!L22=0,0,('financial satement'!M22-'financial satement'!L22)/'financial satement'!L22)</f>
        <v>1.041472232880457E-2</v>
      </c>
      <c r="D5" s="271">
        <f>IF('financial satement'!M22=0,0,('financial satement'!N22-'financial satement'!M22)/'financial satement'!M22)</f>
        <v>6.3441833619351197E-3</v>
      </c>
      <c r="E5" s="271">
        <f>IF('financial satement'!N22=0,0,('financial satement'!O22-'financial satement'!N22)/'financial satement'!N22)</f>
        <v>1.627050597775892E-3</v>
      </c>
      <c r="F5" s="272">
        <f>IF('financial satement'!O22=0,0,('financial satement'!P22-'financial satement'!O22)/'financial satement'!O22)</f>
        <v>-3.8907312977441758E-3</v>
      </c>
    </row>
    <row r="6" spans="1:6" ht="14.25" customHeight="1">
      <c r="A6" s="268" t="s">
        <v>172</v>
      </c>
      <c r="B6" s="269">
        <f>'financial satement'!L19</f>
        <v>1914.6734480661648</v>
      </c>
      <c r="C6" s="269">
        <f>'financial satement'!M19</f>
        <v>1975.1456621009866</v>
      </c>
      <c r="D6" s="269">
        <f>'financial satement'!N19</f>
        <v>2035.6716018744905</v>
      </c>
      <c r="E6" s="269">
        <f>'financial satement'!O19</f>
        <v>2096.0194068063097</v>
      </c>
      <c r="F6" s="270">
        <f>'financial satement'!P19</f>
        <v>2155.9278303635974</v>
      </c>
    </row>
    <row r="7" spans="1:6" ht="14.25" customHeight="1">
      <c r="A7" s="268" t="s">
        <v>386</v>
      </c>
      <c r="B7" s="271">
        <f>IF('financial satement'!L7=0,0,'financial satement'!L19/'financial satement'!L7)</f>
        <v>0.19924007601366744</v>
      </c>
      <c r="C7" s="271">
        <f>IF('financial satement'!M7=0,0,'financial satement'!M19/'financial satement'!M7)</f>
        <v>0.19400118366095756</v>
      </c>
      <c r="D7" s="271">
        <f>IF('financial satement'!N7=0,0,'financial satement'!N19/'financial satement'!N7)</f>
        <v>0.18872795539379936</v>
      </c>
      <c r="E7" s="271">
        <f>IF('financial satement'!O7=0,0,'financial satement'!O19/'financial satement'!O7)</f>
        <v>0.18342016617320686</v>
      </c>
      <c r="F7" s="272">
        <f>IF('financial satement'!P7=0,0,'financial satement'!P19/'financial satement'!P7)</f>
        <v>0.17807758948527982</v>
      </c>
    </row>
    <row r="8" spans="1:6" ht="14.25" customHeight="1">
      <c r="A8" s="268" t="s">
        <v>179</v>
      </c>
      <c r="B8" s="269">
        <f>'financial satement'!L29</f>
        <v>1405.0164125861606</v>
      </c>
      <c r="C8" s="269">
        <f>'financial satement'!M29</f>
        <v>930.99560074089106</v>
      </c>
      <c r="D8" s="269">
        <f>'financial satement'!N29</f>
        <v>-1934.1129922294517</v>
      </c>
      <c r="E8" s="269">
        <f>'financial satement'!O29</f>
        <v>-20165.810383802323</v>
      </c>
      <c r="F8" s="270">
        <f>'financial satement'!P29</f>
        <v>-138017.59836924181</v>
      </c>
    </row>
    <row r="9" spans="1:6" ht="14.25" customHeight="1">
      <c r="A9" s="268" t="s">
        <v>180</v>
      </c>
      <c r="B9" s="273">
        <f>IF('financial satement'!L38=0,0,'financial satement'!L29/'financial satement'!L38)</f>
        <v>7.9289865270099362</v>
      </c>
      <c r="C9" s="273">
        <f>IF('financial satement'!M38=0,0,'financial satement'!M29/'financial satement'!M38)</f>
        <v>5.2539255120817785</v>
      </c>
      <c r="D9" s="273">
        <f>IF('financial satement'!N38=0,0,'financial satement'!N29/'financial satement'!N38)</f>
        <v>-10.914858872626704</v>
      </c>
      <c r="E9" s="273">
        <f>IF('financial satement'!O38=0,0,'financial satement'!O29/'financial satement'!O38)</f>
        <v>-113.80254166931334</v>
      </c>
      <c r="F9" s="274">
        <f>IF('financial satement'!P38=0,0,'financial satement'!P29/'financial satement'!P38)</f>
        <v>-778.88035197089062</v>
      </c>
    </row>
    <row r="10" spans="1:6" ht="14.25" customHeight="1">
      <c r="A10" s="268" t="s">
        <v>410</v>
      </c>
      <c r="B10" s="271">
        <f>IF(B9=0,0,(B9-'financial satement'!K30)/'financial satement'!K30)</f>
        <v>1.1346625012545828E-3</v>
      </c>
      <c r="C10" s="271">
        <f>IF(B9=0,0,(C9-B9)/B9)</f>
        <v>-0.33737741965074797</v>
      </c>
      <c r="D10" s="271">
        <f>IF(C9=0,0,(D9-C9)/C9)</f>
        <v>-3.0774673808235771</v>
      </c>
      <c r="E10" s="271">
        <f>IF(D9=0,0,(E9-D9)/D9)</f>
        <v>9.4263869095658137</v>
      </c>
      <c r="F10" s="272">
        <f>IF(E9=0,0,(F9-E9)/E9)</f>
        <v>5.8441384572425097</v>
      </c>
    </row>
    <row r="11" spans="1:6" ht="14.25" customHeight="1">
      <c r="A11" s="268" t="s">
        <v>399</v>
      </c>
      <c r="B11" s="271">
        <f>IF(B9=0,0,IF('financial satement'!L38=0,0,('financial satement'!L31/'financial satement'!L38)/B9))</f>
        <v>0</v>
      </c>
      <c r="C11" s="271">
        <f>IF(C9=0,0,IF('financial satement'!M38=0,0,('financial satement'!M31/'financial satement'!M38)/C9))</f>
        <v>0</v>
      </c>
      <c r="D11" s="271">
        <f>IF(D9=0,0,IF('financial satement'!N38=0,0,('financial satement'!N31/'financial satement'!N38)/D9))</f>
        <v>0</v>
      </c>
      <c r="E11" s="271">
        <f>IF(E9=0,0,IF('financial satement'!O38=0,0,('financial satement'!O31/'financial satement'!O38)/E9))</f>
        <v>0</v>
      </c>
      <c r="F11" s="272">
        <f>IF(F9=0,0,IF('financial satement'!P38=0,0,('financial satement'!P31/'financial satement'!P38)/F9))</f>
        <v>0</v>
      </c>
    </row>
    <row r="12" spans="1:6" ht="14.25" customHeight="1">
      <c r="A12" s="268" t="s">
        <v>392</v>
      </c>
      <c r="B12" s="271">
        <f>IF(('financial satement'!L78-'financial satement'!L54)=0,0,'financial satement'!L22/('financial satement'!L78-'financial satement'!L54))</f>
        <v>0.35302078802452785</v>
      </c>
      <c r="C12" s="271">
        <f>IF(('financial satement'!M78-'financial satement'!M54)=0,0,'financial satement'!M22/('financial satement'!M78-'financial satement'!M54))</f>
        <v>0.38148890075366593</v>
      </c>
      <c r="D12" s="271">
        <f>IF(('financial satement'!N78-'financial satement'!N54)=0,0,'financial satement'!N22/('financial satement'!N78-'financial satement'!N54))</f>
        <v>0.41775559177183585</v>
      </c>
      <c r="E12" s="271">
        <f>IF(('financial satement'!O78-'financial satement'!O54)=0,0,'financial satement'!O22/('financial satement'!O78-'financial satement'!O54))</f>
        <v>0.46607525335358163</v>
      </c>
      <c r="F12" s="272">
        <f>IF(('financial satement'!P78-'financial satement'!P54)=0,0,'financial satement'!P22/('financial satement'!P78-'financial satement'!P54))</f>
        <v>0.53449676011430691</v>
      </c>
    </row>
    <row r="13" spans="1:6" ht="14.25" customHeight="1">
      <c r="A13" s="268" t="s">
        <v>391</v>
      </c>
      <c r="B13" s="271">
        <f>IF('financial satement'!L41=0,0,'financial satement'!L29/'financial satement'!L41)</f>
        <v>8.1825191755797083E-5</v>
      </c>
      <c r="C13" s="271">
        <f>IF('financial satement'!M41=0,0,'financial satement'!M29/'financial satement'!M41)</f>
        <v>2.2880725188729505E-8</v>
      </c>
      <c r="D13" s="271">
        <f>IF('financial satement'!N41=0,0,'financial satement'!N29/'financial satement'!N41)</f>
        <v>-2.0059312412931315E-11</v>
      </c>
      <c r="E13" s="271">
        <f>IF('financial satement'!O41=0,0,'financial satement'!O29/'financial satement'!O41)</f>
        <v>-8.8259593175305048E-14</v>
      </c>
      <c r="F13" s="272">
        <f>IF('financial satement'!P41=0,0,'financial satement'!P29/'financial satement'!P41)</f>
        <v>-2.5491344955001299E-16</v>
      </c>
    </row>
    <row r="14" spans="1:6" ht="14.25" customHeight="1">
      <c r="A14" s="268" t="s">
        <v>411</v>
      </c>
      <c r="B14" s="275">
        <f>IF(B9=0,0,('financial satement'!L41/'financial satement'!L38)/B9)</f>
        <v>12221.175148412076</v>
      </c>
      <c r="C14" s="275">
        <f>IF(C9=0,0,('financial satement'!M41/'financial satement'!M38)/C9)</f>
        <v>43704908.465601251</v>
      </c>
      <c r="D14" s="275">
        <f>IF(D9=0,0,('financial satement'!N41/'financial satement'!N38)/D9)</f>
        <v>-49852157412.701042</v>
      </c>
      <c r="E14" s="275">
        <f>IF(E9=0,0,('financial satement'!O41/'financial satement'!O38)/E9)</f>
        <v>-11330213113647.105</v>
      </c>
      <c r="F14" s="276">
        <f>IF(F9=0,0,('financial satement'!P41/'financial satement'!P38)/F9)</f>
        <v>-3922900112823603.5</v>
      </c>
    </row>
    <row r="15" spans="1:6" ht="15" customHeight="1">
      <c r="A15" s="277" t="s">
        <v>412</v>
      </c>
      <c r="B15" s="278">
        <f>IF('financial satement'!L41=0,0,B14*B13)</f>
        <v>1</v>
      </c>
      <c r="C15" s="278">
        <f>IF('financial satement'!M41=0,0,C14*C13)</f>
        <v>0.99999999999999989</v>
      </c>
      <c r="D15" s="278">
        <f>IF('financial satement'!N41=0,0,D14*D13)</f>
        <v>0.99999999999999989</v>
      </c>
      <c r="E15" s="278">
        <f>IF('financial satement'!O41=0,0,E14*E13)</f>
        <v>0.99999999999999978</v>
      </c>
      <c r="F15" s="279">
        <f>IF('financial satement'!P41=0,0,F14*F13)</f>
        <v>0.99999999999999989</v>
      </c>
    </row>
  </sheetData>
  <mergeCells count="1">
    <mergeCell ref="B1:E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P39"/>
  <sheetViews>
    <sheetView zoomScale="70" zoomScaleNormal="75" workbookViewId="0">
      <selection activeCell="R20" sqref="R20"/>
    </sheetView>
  </sheetViews>
  <sheetFormatPr defaultColWidth="8.6640625" defaultRowHeight="14.4"/>
  <cols>
    <col min="2" max="2" width="11.21875" customWidth="1"/>
    <col min="5" max="5" width="14.88671875" customWidth="1"/>
  </cols>
  <sheetData>
    <row r="3" spans="2:16" ht="14.25" customHeight="1">
      <c r="B3" s="322" t="s">
        <v>281</v>
      </c>
      <c r="C3" s="322"/>
      <c r="D3" s="322"/>
      <c r="E3" s="322"/>
      <c r="F3" s="322"/>
      <c r="G3" s="322"/>
      <c r="H3" s="322"/>
    </row>
    <row r="4" spans="2:16" ht="14.25" customHeight="1">
      <c r="B4" s="322"/>
      <c r="C4" s="322"/>
      <c r="D4" s="322"/>
      <c r="E4" s="322"/>
      <c r="F4" s="322"/>
      <c r="G4" s="322"/>
      <c r="H4" s="322"/>
    </row>
    <row r="5" spans="2:16" ht="14.25" customHeight="1">
      <c r="B5" t="s">
        <v>282</v>
      </c>
      <c r="C5" s="172">
        <v>0.13</v>
      </c>
      <c r="E5" t="s">
        <v>283</v>
      </c>
      <c r="F5">
        <f>(C8*C9*(C6-C7))/(C5-C7)</f>
        <v>411.42857142857133</v>
      </c>
    </row>
    <row r="6" spans="2:16" ht="14.25" customHeight="1">
      <c r="B6" t="s">
        <v>284</v>
      </c>
      <c r="C6" s="172">
        <v>0.18</v>
      </c>
      <c r="E6" t="s">
        <v>285</v>
      </c>
      <c r="F6">
        <f>C8*(1+C7)/(C5-C7)</f>
        <v>726.85714285714278</v>
      </c>
    </row>
    <row r="7" spans="2:16" ht="14.25" customHeight="1">
      <c r="B7" t="s">
        <v>286</v>
      </c>
      <c r="C7" s="172">
        <v>0.06</v>
      </c>
      <c r="F7">
        <f>SUM(F5:F6)</f>
        <v>1138.2857142857142</v>
      </c>
    </row>
    <row r="8" spans="2:16" ht="14.25" customHeight="1">
      <c r="B8" t="s">
        <v>287</v>
      </c>
      <c r="C8">
        <v>48</v>
      </c>
    </row>
    <row r="9" spans="2:16" ht="14.25" customHeight="1">
      <c r="B9" t="s">
        <v>288</v>
      </c>
      <c r="C9">
        <v>5</v>
      </c>
      <c r="E9">
        <f>F7</f>
        <v>1138.2857142857142</v>
      </c>
      <c r="F9" s="192">
        <v>0.1</v>
      </c>
      <c r="G9" s="192">
        <v>0.11</v>
      </c>
      <c r="H9" s="192">
        <v>0.12</v>
      </c>
      <c r="I9" s="192">
        <v>0.14000000000000001</v>
      </c>
      <c r="J9" s="192">
        <v>0.15</v>
      </c>
      <c r="K9" s="192">
        <v>0.16</v>
      </c>
      <c r="L9" s="192">
        <v>0.18</v>
      </c>
      <c r="M9" s="192">
        <v>0.2</v>
      </c>
    </row>
    <row r="10" spans="2:16" ht="14.25" customHeight="1">
      <c r="E10" s="192">
        <v>0.18</v>
      </c>
      <c r="F10">
        <v>1992</v>
      </c>
      <c r="G10">
        <v>1593.6</v>
      </c>
      <c r="H10">
        <v>1328</v>
      </c>
      <c r="I10">
        <v>996</v>
      </c>
      <c r="J10">
        <v>885.33333333333303</v>
      </c>
      <c r="K10">
        <v>796.8</v>
      </c>
      <c r="L10">
        <v>664</v>
      </c>
      <c r="M10">
        <v>569.142857142857</v>
      </c>
    </row>
    <row r="11" spans="2:16" ht="14.25" customHeight="1">
      <c r="E11" s="192">
        <v>0.15</v>
      </c>
      <c r="F11">
        <v>1812</v>
      </c>
      <c r="G11">
        <v>1449.6</v>
      </c>
      <c r="H11">
        <v>1208</v>
      </c>
      <c r="I11">
        <v>906</v>
      </c>
      <c r="J11">
        <v>805.33333333333303</v>
      </c>
      <c r="K11">
        <v>724.8</v>
      </c>
      <c r="L11">
        <v>604</v>
      </c>
      <c r="M11">
        <v>517.71428571428601</v>
      </c>
      <c r="P11" t="s">
        <v>289</v>
      </c>
    </row>
    <row r="12" spans="2:16" ht="14.25" customHeight="1">
      <c r="E12" s="192">
        <v>0.12</v>
      </c>
      <c r="F12">
        <v>1632</v>
      </c>
      <c r="G12">
        <v>1305.5999999999999</v>
      </c>
      <c r="H12">
        <v>1088</v>
      </c>
      <c r="I12">
        <v>816</v>
      </c>
      <c r="J12">
        <v>725.33333333333303</v>
      </c>
      <c r="K12">
        <v>652.79999999999995</v>
      </c>
      <c r="L12">
        <v>544</v>
      </c>
      <c r="M12">
        <v>466.28571428571399</v>
      </c>
    </row>
    <row r="13" spans="2:16" ht="14.25" customHeight="1">
      <c r="E13" s="192">
        <v>0.1</v>
      </c>
      <c r="F13">
        <v>1512</v>
      </c>
      <c r="G13">
        <v>1209.5999999999999</v>
      </c>
      <c r="H13">
        <v>1008</v>
      </c>
      <c r="I13">
        <v>756</v>
      </c>
      <c r="J13">
        <v>672</v>
      </c>
      <c r="K13">
        <v>604.79999999999995</v>
      </c>
      <c r="L13">
        <v>504</v>
      </c>
      <c r="M13">
        <v>432</v>
      </c>
    </row>
    <row r="14" spans="2:16" ht="14.25" customHeight="1">
      <c r="E14" s="192">
        <v>0.08</v>
      </c>
      <c r="F14">
        <v>1392</v>
      </c>
      <c r="G14">
        <v>1113.5999999999999</v>
      </c>
      <c r="H14">
        <v>928</v>
      </c>
      <c r="I14">
        <v>696</v>
      </c>
      <c r="J14">
        <v>618.66666666666697</v>
      </c>
      <c r="K14">
        <v>556.79999999999995</v>
      </c>
      <c r="L14">
        <v>464</v>
      </c>
      <c r="M14">
        <v>397.71428571428601</v>
      </c>
    </row>
    <row r="15" spans="2:16" ht="14.25" customHeight="1">
      <c r="E15" s="192">
        <v>7.0000000000000007E-2</v>
      </c>
      <c r="F15">
        <v>1332</v>
      </c>
      <c r="G15">
        <v>1065.5999999999999</v>
      </c>
      <c r="H15">
        <v>888</v>
      </c>
      <c r="I15">
        <v>666</v>
      </c>
      <c r="J15">
        <v>592</v>
      </c>
      <c r="K15">
        <v>532.79999999999995</v>
      </c>
      <c r="L15">
        <v>444</v>
      </c>
      <c r="M15">
        <v>380.57142857142901</v>
      </c>
    </row>
    <row r="16" spans="2:16" ht="14.25" customHeight="1">
      <c r="E16" s="192">
        <v>0.05</v>
      </c>
      <c r="F16">
        <v>1212</v>
      </c>
      <c r="G16">
        <v>969.6</v>
      </c>
      <c r="H16">
        <v>808</v>
      </c>
      <c r="I16">
        <v>606</v>
      </c>
      <c r="J16">
        <v>538.66666666666697</v>
      </c>
      <c r="K16">
        <v>484.8</v>
      </c>
      <c r="L16">
        <v>404</v>
      </c>
      <c r="M16">
        <v>346.28571428571399</v>
      </c>
    </row>
    <row r="18" spans="1:9" ht="14.25" customHeight="1">
      <c r="A18" t="s">
        <v>290</v>
      </c>
    </row>
    <row r="20" spans="1:9" ht="14.25" customHeight="1">
      <c r="B20" t="s">
        <v>287</v>
      </c>
      <c r="C20">
        <v>5</v>
      </c>
    </row>
    <row r="21" spans="1:9" ht="14.25" customHeight="1">
      <c r="B21" t="s">
        <v>291</v>
      </c>
      <c r="C21">
        <v>4</v>
      </c>
    </row>
    <row r="22" spans="1:9" ht="14.25" customHeight="1">
      <c r="B22" t="s">
        <v>292</v>
      </c>
      <c r="C22" s="172">
        <v>0.3</v>
      </c>
    </row>
    <row r="23" spans="1:9" ht="14.25" customHeight="1">
      <c r="B23" t="s">
        <v>293</v>
      </c>
      <c r="C23" s="172">
        <v>0.15</v>
      </c>
      <c r="E23" s="323" t="s">
        <v>283</v>
      </c>
      <c r="F23" s="323"/>
      <c r="G23" s="323"/>
      <c r="H23" s="323"/>
      <c r="I23" s="323"/>
    </row>
    <row r="24" spans="1:9" ht="14.25" customHeight="1">
      <c r="F24">
        <v>1</v>
      </c>
      <c r="G24">
        <v>2</v>
      </c>
      <c r="H24">
        <v>3</v>
      </c>
      <c r="I24">
        <v>4</v>
      </c>
    </row>
    <row r="25" spans="1:9" ht="14.25" customHeight="1">
      <c r="E25" t="s">
        <v>294</v>
      </c>
      <c r="F25">
        <f>C20*(1+C22)</f>
        <v>6.5</v>
      </c>
      <c r="G25">
        <f>F25*(1+C22)</f>
        <v>8.4500000000000011</v>
      </c>
      <c r="H25">
        <f>G25*(1+$C$22)</f>
        <v>10.985000000000001</v>
      </c>
      <c r="I25">
        <f>H25*(1+$C$22)</f>
        <v>14.280500000000002</v>
      </c>
    </row>
    <row r="26" spans="1:9" ht="14.25" customHeight="1">
      <c r="E26" t="s">
        <v>295</v>
      </c>
      <c r="F26">
        <f>F25/(1+C23^F24)</f>
        <v>5.6521739130434785</v>
      </c>
    </row>
    <row r="27" spans="1:9" ht="14.25" customHeight="1">
      <c r="F27">
        <f>SUM(F26:I26)</f>
        <v>5.6521739130434785</v>
      </c>
    </row>
    <row r="28" spans="1:9" ht="14.25" customHeight="1">
      <c r="E28" s="323" t="s">
        <v>296</v>
      </c>
      <c r="F28" s="323"/>
      <c r="G28" s="323"/>
      <c r="H28" s="323"/>
      <c r="I28" s="323"/>
    </row>
    <row r="29" spans="1:9" ht="14.25" customHeight="1">
      <c r="F29">
        <v>5</v>
      </c>
      <c r="G29">
        <v>6</v>
      </c>
      <c r="H29">
        <v>7</v>
      </c>
      <c r="I29">
        <v>8</v>
      </c>
    </row>
    <row r="30" spans="1:9" ht="14.25" customHeight="1">
      <c r="F30" s="172">
        <v>0.25</v>
      </c>
      <c r="G30" s="172">
        <v>0.2</v>
      </c>
      <c r="H30" s="172">
        <v>0.15</v>
      </c>
      <c r="I30" s="172">
        <v>0.1</v>
      </c>
    </row>
    <row r="31" spans="1:9" ht="14.25" customHeight="1">
      <c r="E31" t="s">
        <v>294</v>
      </c>
      <c r="F31">
        <f>I25*(1+F30)</f>
        <v>17.850625000000001</v>
      </c>
      <c r="G31">
        <f>F31*(1+G30)</f>
        <v>21.420750000000002</v>
      </c>
      <c r="H31">
        <f>G31*(1+H30)</f>
        <v>24.633862499999999</v>
      </c>
      <c r="I31">
        <f>H31*(1+I30)</f>
        <v>27.097248750000002</v>
      </c>
    </row>
    <row r="32" spans="1:9" ht="14.25" customHeight="1">
      <c r="E32" t="s">
        <v>295</v>
      </c>
      <c r="F32">
        <f>F31/(1+$C$23)^F29</f>
        <v>8.8749154605340355</v>
      </c>
      <c r="G32">
        <f>G31/(1+$C$23)^G29</f>
        <v>9.2607813501224729</v>
      </c>
      <c r="H32">
        <f>H31/(1+$C$23)^H29</f>
        <v>9.2607813501224747</v>
      </c>
      <c r="I32">
        <f>I31/(1+$C$23)^I29</f>
        <v>8.8581386827258477</v>
      </c>
    </row>
    <row r="33" spans="5:9" ht="14.25" customHeight="1">
      <c r="F33">
        <f>SUM(F32:I32)</f>
        <v>36.254616843504834</v>
      </c>
    </row>
    <row r="34" spans="5:9" ht="14.25" customHeight="1">
      <c r="E34" s="323" t="s">
        <v>297</v>
      </c>
      <c r="F34" s="323"/>
      <c r="G34" s="323"/>
      <c r="H34" s="323"/>
      <c r="I34" s="323"/>
    </row>
    <row r="36" spans="5:9" ht="14.25" customHeight="1">
      <c r="F36">
        <v>9</v>
      </c>
      <c r="G36">
        <v>10</v>
      </c>
      <c r="H36">
        <v>11</v>
      </c>
      <c r="I36">
        <v>12</v>
      </c>
    </row>
    <row r="37" spans="5:9" ht="14.25" customHeight="1">
      <c r="E37" t="s">
        <v>294</v>
      </c>
      <c r="F37" s="191">
        <f>I31*(1+C23)</f>
        <v>31.161836062500001</v>
      </c>
    </row>
    <row r="38" spans="5:9" ht="14.25" customHeight="1">
      <c r="E38" t="s">
        <v>298</v>
      </c>
      <c r="F38">
        <f>F37/(C23-C20)</f>
        <v>-6.4251208376288664</v>
      </c>
    </row>
    <row r="39" spans="5:9" ht="14.25" customHeight="1">
      <c r="E39" t="s">
        <v>295</v>
      </c>
      <c r="F39" s="193">
        <f>F38/1+C23</f>
        <v>-6.2751208376288661</v>
      </c>
    </row>
  </sheetData>
  <mergeCells count="4">
    <mergeCell ref="E23:I23"/>
    <mergeCell ref="E28:I28"/>
    <mergeCell ref="E34:I34"/>
    <mergeCell ref="B3:H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cashflow</vt:lpstr>
      <vt:lpstr>Bal.sheet</vt:lpstr>
      <vt:lpstr>PL</vt:lpstr>
      <vt:lpstr>sources</vt:lpstr>
      <vt:lpstr>Assumption</vt:lpstr>
      <vt:lpstr>financial satement</vt:lpstr>
      <vt:lpstr>PPE Schedule</vt:lpstr>
      <vt:lpstr>ratios</vt:lpstr>
      <vt:lpstr>beta</vt:lpstr>
      <vt:lpstr>Historicial beta</vt:lpstr>
      <vt:lpstr>Fundamental beta</vt:lpstr>
      <vt:lpstr>Accounting beta</vt:lpstr>
      <vt:lpstr>WACC</vt:lpstr>
      <vt:lpstr>EVA</vt:lpstr>
      <vt:lpstr>DCF</vt:lpstr>
      <vt:lpstr>all ratios forcasted</vt:lpstr>
      <vt:lpstr>key ratio forcasted</vt:lpstr>
      <vt:lpstr>Hmodel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Saumya Srivastava</dc:creator>
  <dc:description/>
  <cp:lastModifiedBy>BCP2021007 Rituraj</cp:lastModifiedBy>
  <cp:revision>3</cp:revision>
  <dcterms:created xsi:type="dcterms:W3CDTF">2026-02-25T17:07:39Z</dcterms:created>
  <dcterms:modified xsi:type="dcterms:W3CDTF">2026-04-03T16:18:19Z</dcterms:modified>
  <dc:language>en-US</dc:language>
</cp:coreProperties>
</file>